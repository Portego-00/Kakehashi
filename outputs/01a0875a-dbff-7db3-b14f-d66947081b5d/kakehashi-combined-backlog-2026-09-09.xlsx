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1.xml" ContentType="application/vnd.openxmlformats-officedocument.spreadsheetml.comments+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b95bbd89e1434d" /></Relationships>
</file>

<file path=xl/workbook.xml><?xml version="1.0" encoding="utf-8"?>
<x:workbook xmlns:x="http://schemas.openxmlformats.org/spreadsheetml/2006/main">
  <x:sheets>
    <x:sheet xmlns:r="http://schemas.openxmlformats.org/officeDocument/2006/relationships" name="Backlog" sheetId="1" r:id="R93f524fde1224c1d"/>
    <x:sheet xmlns:r="http://schemas.openxmlformats.org/officeDocument/2006/relationships" name="Verify and close" sheetId="2" r:id="R06ee2075f15b4ef4"/>
    <x:sheet xmlns:r="http://schemas.openxmlformats.org/officeDocument/2006/relationships" name="Sources" sheetId="3" r:id="Ra186f50255f5400a"/>
  </x:sheets>
</x:workbook>
</file>

<file path=xl/comments1.xml><?xml version="1.0" encoding="utf-8"?>
<x:comments xmlns:x="http://schemas.openxmlformats.org/spreadsheetml/2006/main">
  <x:authors>
    <x:author/>
  </x:authors>
  <x:commentList>
    <x:comment ref="C9" authorId="0">
      <x:text>
        <x:r>
          <x:t>B03: Slow startup and completion on poor connections
C01 body: startup waits 2–3 minutes, review completion 3–5 minutes
C01 developer comment 2026-09-08 distinguishes fully offline from weak connection
src/services/offlineStudyProgressService.ts</x:t>
        </x:r>
      </x:text>
    </x:comment>
    <x:comment ref="C10" authorId="0">
      <x:text>
        <x:r>
          <x:t>B29: Combine iOS Notifications
C02 developer comment 2026-09-06: requires native/App Store release
ios/ReviewNotificationManager.swift:168 schedules review-&lt;hour&gt; identifiers
ios/ReviewNotificationManager.swift:266 schedules review-exact-&lt;time&gt; identifiers</x:t>
        </x:r>
      </x:text>
    </x:comment>
    <x:comment ref="C11" authorId="0">
      <x:text>
        <x:r>
          <x:t>B10: Multiple-choice back-to-back behaviour
C03 comments 2026-09-07: radicals and back-to-back remaining; developer says radicals fixed, pairing unreproduced
src/components/ReviewQuestionScreen.tsx:1212 multiple-choice eligibility
src/components/ReviewQuestionScreen.tsx:1666 four-option rendering</x:t>
        </x:r>
      </x:text>
    </x:comment>
    <x:comment ref="C12" authorId="0">
      <x:text>
        <x:r>
          <x:t>B34: Save sentences from multiple sources to review lists
C04 developer comment 2026-09-06 promises lists before own SRS
web/src/features/notebooks/NotebookCaptureDialog.tsx implements web notebook sentence capture, not universal native media lists
https://github.com/Portego-00/Kakehashi/pull/73</x:t>
        </x:r>
      </x:text>
    </x:comment>
    <x:comment ref="C13" authorId="0">
      <x:text>
        <x:r>
          <x:t>B36: Audio-only vocab reviews
C05 reporter 2026-09-03 confirms audio mode added
C05 developer 2026-09-05 Done after reading request; same-day reporter asks for kanji
https://github.com/Portego-00/Kakehashi/pull/63
src/screens/audio-vocab-screen.tsx
src/components/audio-vocab-prompt.tsx</x:t>
        </x:r>
      </x:text>
    </x:comment>
    <x:comment ref="C14" authorId="0">
      <x:text>
        <x:r>
          <x:t>V09: Critical items big widget
src/widgets/homeWidget.tsx:513 detects systemMedium
src/widgets/homeWidget.tsx:1138 Critical mode renders count/top item
src/widgets/homeWidget.tsx:1663 buildCriticalSecondaryLabel</x:t>
        </x:r>
      </x:text>
    </x:comment>
    <x:comment ref="C15" authorId="0">
      <x:text>
        <x:r>
          <x:t>V16: Lesson search button
C07 reporter comment 2026-09-05 confirms delivery
https://github.com/Portego-00/Kakehashi/pull/64</x:t>
        </x:r>
      </x:text>
    </x:comment>
    <x:comment ref="C16" authorId="0">
      <x:text>
        <x:r>
          <x:t>B35: Integrated notebook and shared sentences
https://github.com/Portego-00/Kakehashi/pull/73
C08 body: independent notes, hierarchy/search, links to reading/meaning/context notes
https://github.com/Portego-00/Kakehashi/pull/73
src/features/notebooks/NotebookWorkspace.tsx
web/src/features/notebooks/SubjectNotebookSection.tsx
src/utils/portegoAccess.ts:1</x:t>
        </x:r>
      </x:text>
    </x:comment>
    <x:comment ref="C17" authorId="0">
      <x:text>
        <x:r>
          <x:t>B11: Reliable links in subject notes
https://github.com/Portego-00/Kakehashi/pull/78
C09 reporter comment 2026-09-08 thanks for fixing
https://github.com/Portego-00/Kakehashi/issues/65
https://github.com/Portego-00/Kakehashi/pull/78
src/components/note-visual-editor-content.tsx:1208 uncommitted suffix handling
src/components/note-visual-editor-content.tsx:1244 uncommitted future-link typing toggle</x:t>
        </x:r>
      </x:text>
    </x:comment>
    <x:comment ref="C18" authorId="0">
      <x:text>
        <x:r>
          <x:t>V17: Kakehashi - now on web :)
C10 body and both comments</x:t>
        </x:r>
      </x:text>
    </x:comment>
    <x:comment ref="C19" authorId="0">
      <x:text>
        <x:r>
          <x:t>V15: Japanese translation
C11 developer comment 2026-08-27 asks which part of app and whether English translations</x:t>
        </x:r>
      </x:text>
    </x:comment>
    <x:comment ref="C20" authorId="0">
      <x:text>
        <x:r>
          <x:t>B26: Transfer lists and subjects
C12 body thanks earlier transfer feature and requests checkbox/bulk toolbar
app/(app)/subject-list/[id].tsx:134 transfer modal state
app/(app)/subject-list/[id].tsx:1357 transfer modal uses Array.from(selectedSubjectIds.values())
src/components/TransferSubjectListsModal.tsx:258 copy/move modes</x:t>
        </x:r>
      </x:text>
    </x:comment>
    <x:comment ref="C21" authorId="0">
      <x:text>
        <x:r>
          <x:t>V18: Level limitation in Vocab reading
C13 developer 2026-08-23 Should be fixed now
C13 reporter 2026-08-24 Thank you, just noticed</x:t>
        </x:r>
      </x:text>
    </x:comment>
    <x:comment ref="C22" authorId="0">
      <x:text>
        <x:r>
          <x:t>B11: Reliable links in subject notes
https://github.com/Portego-00/Kakehashi/pull/78
C09 reporter comment 2026-09-08 thanks for fixing
https://github.com/Portego-00/Kakehashi/issues/65
https://github.com/Portego-00/Kakehashi/pull/78
src/components/note-visual-editor-content.tsx:1208 uncommitted suffix handling
src/components/note-visual-editor-content.tsx:1244 uncommitted future-link typing toggle
B12: Note editor usability and formatting extensions
https://github.com/Portego-00/Kakehashi/pull/78
C14 developer/reporter confirmation 2026-08-23/24
C14 latest comment 2026-09-03 requests retaining formatting on cut/paste
src/utils/note-formatting.ts:1 only bold/italic/underline supported
https://github.com/Portego-00/Kakehashi/pull/78
src/components/__tests__/note-visual-editor-interactions.test.tsx:692 clipboard regressions in local draft</x:t>
        </x:r>
      </x:text>
    </x:comment>
    <x:comment ref="C23" authorId="0">
      <x:text>
        <x:r>
          <x:t>B41: Vocabulary Kanji Composition
C15 body specifies Anki review reveal
src/components/ReviewQuestionScreen.tsx:1408 needsPausedReviewDetails excludes Anki
src/components/ReviewQuestionScreen.tsx:1437 component_subject_ids hydration</x:t>
        </x:r>
      </x:text>
    </x:comment>
    <x:comment ref="C24" authorId="0">
      <x:text>
        <x:r>
          <x:t>B15: iPhone lesson notes and reading hints are clipped
C16 reporter 2026-08-17 clarifies note gets cut off
src/components/LessonDetailScreen.tsx:2152 renderNoteCard uses FormattedNoteText
https://github.com/Portego-00/Kakehashi/pull/78
Comment 2026-05-12: iPhone16Pro iOS26.5
src/components/LessonDetailScreen.tsx:2131</x:t>
        </x:r>
      </x:text>
    </x:comment>
    <x:comment ref="C25" authorId="0">
      <x:text>
        <x:r>
          <x:t>B37: Temporarily mute audio
C17 body and comment 2026-08-19 about clutter
src/components/ReviewQuestionScreen.tsx:1154 autoplayVocabularyAudio setting
src/components/ReviewQuestionScreen.tsx:2713 playback gate</x:t>
        </x:r>
      </x:text>
    </x:comment>
    <x:comment ref="C26" authorId="0">
      <x:text>
        <x:r>
          <x:t>B19: Music lyrics not working?
C18 comments 2026-08-20 and 2026-08-26 confirm Android-wide search failures
src/services/lyricsService.ts
src/services/spotifyService.ts</x:t>
        </x:r>
      </x:text>
    </x:comment>
    <x:comment ref="C27" authorId="0">
      <x:text>
        <x:r>
          <x:t>B18: review forecast duplicate
C19 body: Now and 9am duplicate until background sync completes
src/components/ReviewForecast.tsx:474 assignmentQueueNowCount
src/components/ReviewForecast.tsx:752 explicit Now bar
src/hooks/useDashboardData.tsx:1173 forecast generation</x:t>
        </x:r>
      </x:text>
    </x:comment>
    <x:comment ref="C28" authorId="0">
      <x:text>
        <x:r>
          <x:t>V10: Transfering subjects from one list to another
C12 body thanks transfer feature
src/components/TransferSubjectListsModal.tsx:258 copy and move modes
app/(app)/subject-list/[id].tsx:607 handleOpenTransfer</x:t>
        </x:r>
      </x:text>
    </x:comment>
    <x:comment ref="C29" authorId="0">
      <x:text>
        <x:r>
          <x:t>B13: Review word obstruction
C21 report 2026-08-11 and clarification 2026-08-20
src/components/ReviewQuestionScreen.tsx
https://github.com/Portego-00/Kakehashi/pull/43 related autosizing work, not proof of this fix</x:t>
        </x:r>
      </x:text>
    </x:comment>
    <x:comment ref="C30" authorId="0">
      <x:text>
        <x:r>
          <x:t>B43: Kana frequency and JLPT coverage refinements
Author 2026-07-29 confirms JLPT lists and frequency display.
Last comments request frequency cutoff and separate common kana-form rank.
src/data/patchNotes.ts:232 custom review frequency cutoff; :388 crossword JLPT and kana audio.
src/utils/jitenFrequency.ts returns one JitenFrequencyMatch.
src/components/KanjiDetails.tsx:1384 inline radical reminder.
V19: Bookmark indicator and lesson frequency filter
C22 developer Done 2026-08-10
C22 reporter confirmation 2026-08-11, then separate kana-usage request</x:t>
        </x:r>
      </x:text>
    </x:comment>
    <x:comment ref="C31" authorId="0">
      <x:text>
        <x:r>
          <x:t>V20: How to adjust input font size?
Developer reply 2026-08-05: added review advanced setting.
src/components/ReviewQuestionScreen.tsx:1182,6861
src/utils/__tests__/reviewInputFontScaleSettings.test.ts</x:t>
        </x:r>
      </x:text>
    </x:comment>
    <x:comment ref="C32" authorId="0">
      <x:text>
        <x:r>
          <x:t>B09: Dashboard lesson and review counts become stale
Comments 2026-05-22 and 2026-05-24: refreshed counts revert and multiple affected users
src/services/studyProgressAssignmentCacheService.ts
src/services/offlineStudyProgressService.ts
Report 2026-07-28; developer investigating 2026-08-05.
src/components/LessonsReviewsCard.tsx:173 uses assignment available_at.
src/data/patchNotes.ts:276 contains later Android review-count fix; report platform is unspecified.
C53 body/comments match stale dashboard counts corrected on entering lessons/reviews; multiple Android reports.</x:t>
        </x:r>
      </x:text>
    </x:comment>
    <x:comment ref="C33" authorId="0">
      <x:text>
        <x:r>
          <x:t>B44: Additional level stats 
Developer 2026-08-05: feature never existed; suggestion welcomed.
src/utils/levelProgress.ts:395 estimates current level, not full-course completion.
Developer haptics reply points to setting and device settings.</x:t>
        </x:r>
      </x:text>
    </x:comment>
    <x:comment ref="C34" authorId="0">
      <x:text>
        <x:r>
          <x:t>V11: Subject lists quick Review button
Developer 2026-07-25: Done; user thanks them 2026-07-26.
app/(app)/subject-lists.tsx:520 routes to custom review with selected list.
app/(app)/custom-review-selection.tsx:170,244 loads/saves persisted filters.</x:t>
        </x:r>
      </x:text>
    </x:comment>
    <x:comment ref="C35" authorId="0">
      <x:text>
        <x:r>
          <x:t>B26: Transfer lists and subjects
C12 body thanks earlier transfer feature and requests checkbox/bulk toolbar
app/(app)/subject-list/[id].tsx:134 transfer modal state
app/(app)/subject-list/[id].tsx:1357 transfer modal uses Array.from(selectedSubjectIds.values())
src/components/TransferSubjectListsModal.tsx:258 copy/move modes
B42: Beginner reading aids and remaining romaji option
User 2026-08-08 confirms iOS on/kun pronunciations.
Developer 2026-07-25 confirms reading-grouped examples and existing random order.
src/components/KanjiDetails.tsx:533,556 selectable reading and pronunciation button.
src/data/patchNotes.ts:93 vocabulary parts-of-speech filtering.
Bulk list movement comment overlaps C12/C20 only; do not merge entire composite report.</x:t>
        </x:r>
      </x:text>
    </x:comment>
    <x:comment ref="C36" authorId="0">
      <x:text>
        <x:r>
          <x:t>B43: Kana frequency and JLPT coverage refinements
Author 2026-07-29 confirms JLPT lists and frequency display.
Last comments request frequency cutoff and separate common kana-form rank.
src/data/patchNotes.ts:232 custom review frequency cutoff; :388 crossword JLPT and kana audio.
src/utils/jitenFrequency.ts returns one JitenFrequencyMatch.
src/components/KanjiDetails.tsx:1384 inline radical reminder.</x:t>
        </x:r>
      </x:text>
    </x:comment>
    <x:comment ref="C37" authorId="0">
      <x:text>
        <x:r>
          <x:t>B24: Undo last answer 
Developer 2026-07-22: API currently submits as soon as meaning and reading finish and cannot undo; submission timing must change.
User follow-up 2026-09-03 still asks for update.
ReviewQuestionScreen.tsx:3947 paused correct answers expose Continue only, while Mark Wrong belongs to wrong/close states; prior-answer undo is absent.</x:t>
        </x:r>
      </x:text>
    </x:comment>
    <x:comment ref="C38" authorId="0">
      <x:text>
        <x:r>
          <x:t>B04: Lessons and reviews unavailable fully offline
Report 2026-07-14 says neither lessons nor reviews loads offline.
Developer 2026-07-25 acknowledges investigation.
Related C01 is slow connectivity; do not treat it as proven duplicate root cause.</x:t>
        </x:r>
      </x:text>
    </x:comment>
    <x:comment ref="C39" authorId="0">
      <x:text>
        <x:r>
          <x:t>B40: Anime Title Formatting
Author explicitly describes cosmetic title formatting and Anohana punctuation/capitalization.
src/services/aniListService.ts:52 handles title aliases including romaji.</x:t>
        </x:r>
      </x:text>
    </x:comment>
    <x:comment ref="C40" authorId="0">
      <x:text>
        <x:r>
          <x:t>B33: Mac context audio and vacation statistics follow-up
Main body asks whether context sentence audio works on Mac.
C40 main body explicitly reports Mac context audio failure.
Comment 2026-07-15 reports missing statistics after a two-day vacation; preserve separately.</x:t>
        </x:r>
      </x:text>
    </x:comment>
    <x:comment ref="C41" authorId="0">
      <x:text>
        <x:r>
          <x:t>B01: Lesson notes disappear after saving
Report 2026-07-10: notes saved inside lessons disappear afterward; saving from item detail works.
src/components/LessonDetailScreen.tsx:1327 now flushes editor, awaits upsertStudyMaterial, and updates local state.
No reporter closure confirmation; current save code alone does not establish post-lesson durability.</x:t>
        </x:r>
      </x:text>
    </x:comment>
    <x:comment ref="C42" authorId="0">
      <x:text>
        <x:r>
          <x:t>B47: Interleave lessons and reviews (suggestion)
Report requests automatically mixing a chosen lesson count into reviews.
Current app/(app)/lessons.tsx and review session flow are separate.</x:t>
        </x:r>
      </x:text>
    </x:comment>
    <x:comment ref="C43" authorId="0">
      <x:text>
        <x:r>
          <x:t>V02: External keyboard answers lose final characters
PR #64 commit 0252a9f2: input owns text; synchronous fallback; useLayoutEffect reset before new question.
src/components/TextToKanaInput.tsx:237 flushes event.nativeEvent.text.
src/components/ReviewQuestionScreen.tsx receives submit native event and latest input ref.
Original report involves rapid external-keyboard entry.</x:t>
        </x:r>
      </x:text>
    </x:comment>
    <x:comment ref="C44" authorId="0">
      <x:text>
        <x:r>
          <x:t>V21: Crossword suggestion
Developer 2026-07-20 implemented; author 2026-07-22 confirms works great.
Developer 2026-08-06 says missing おはよう audio fixed.
src/data/patchNotes.ts:388 includes kana-only crossword statistics audio.</x:t>
        </x:r>
      </x:text>
    </x:comment>
    <x:comment ref="C45" authorId="0">
      <x:text>
        <x:r>
          <x:t>B14: Vocab reviews not centered; level &amp; SRS not visible
src/components/ReviewQuestionScreen.tsx:1747 requires !isContextHintVisible for normal metadata layout.
src/components/ReviewQuestionScreen.tsx:7395 sets context-hint wrapper to flex-start.
Two June 29 reports on iOS 18/26 with external keyboard/context hints.</x:t>
        </x:r>
      </x:text>
    </x:comment>
    <x:comment ref="C46" authorId="0">
      <x:text>
        <x:r>
          <x:t>B06: Android review kanji shrink to unreadable size
Samsung Galaxy S21 Android 15; Gboard opening shrinks question text.
Second user confirms 2026-06-30.
Related C39 still reports failure on 2026-08-05 after PR #43.
ReviewQuestionScreen character Text uses adjustsFontSizeToFit; keyed prompt/keyboard-avoidance layout.
PR #43 f6a1057b tried autosizing cache fix on 2026-06-21.
Developer asks whether PR fixed it; user 2026-08-05 says still happening and font-toggle restores size.</x:t>
        </x:r>
      </x:text>
    </x:comment>
    <x:comment ref="C47" authorId="0">
      <x:text>
        <x:r>
          <x:t>B06: Android review kanji shrink to unreadable size
Samsung Galaxy S21 Android 15; Gboard opening shrinks question text.
Second user confirms 2026-06-30.
Related C39 still reports failure on 2026-08-05 after PR #43.
ReviewQuestionScreen character Text uses adjustsFontSizeToFit; keyed prompt/keyboard-avoidance layout.
PR #43 f6a1057b tried autosizing cache fix on 2026-06-21.
Developer asks whether PR fixed it; user 2026-08-05 says still happening and font-toggle restores size.</x:t>
        </x:r>
      </x:text>
    </x:comment>
    <x:comment ref="C48" authorId="0">
      <x:text>
        <x:r>
          <x:t>B16: Large-text kanji and radical layouts
Author 2026-06-24: scale added but every single kanji/radical fails to fit.
Developer 2026-06-24 promises layout patches.
Existing LessonDetailScreen.largeText tests and PR #44 do not prove all Mac/detail layouts fixed.
Mac context audio sentence in body duplicates part of C32 only.
B33: Mac context audio and vacation statistics follow-up
Main body asks whether context sentence audio works on Mac.
C40 main body explicitly reports Mac context audio failure.
Comment 2026-07-15 reports missing statistics after a two-day vacation; preserve separately.</x:t>
        </x:r>
      </x:text>
    </x:comment>
    <x:comment ref="C49" authorId="0">
      <x:text>
        <x:r>
          <x:t>V03: Android lesson-note keyboard repeatedly opens/closes
Pixel Android confirmation 2026-06-27.
Merged PR #78 changes note modal layout, insets and editor stability.
src/components/__tests__/LessonDetailScreen.largeText.test.tsx:364 covers Android keyboard-space accounting.
Related GitHub #68 editor faults are broader, not automatically identical.</x:t>
        </x:r>
      </x:text>
    </x:comment>
    <x:comment ref="C50" authorId="0">
      <x:text>
        <x:r>
          <x:t>V22: Apprentice/Guru item count lesson block
Author 2026-08-02: thanks for adding feature.
src/utils/lessonSrsThreshold.ts calculates apprentice/guru thresholds.
src/features/settings/sections/LessonSettingsSection.tsx exposes threshold input.</x:t>
        </x:r>
      </x:text>
    </x:comment>
    <x:comment ref="C51" authorId="0">
      <x:text>
        <x:r>
          <x:t>B51: Adding a cbz/cbr manga reader
Developer 2026-06-15 explicitly says hidden pending acceptable on-device manga OCR.
src/services/mangaLibraryService.ts:23 source types cbz/pdf/images; :217 CBZ/ZIP detection.
app/(app)/tab-settings.tsx:147,161 allows manga tab only for isPortegoUsername(userData?.username).</x:t>
        </x:r>
      </x:text>
    </x:comment>
    <x:comment ref="C52" authorId="0">
      <x:text>
        <x:r>
          <x:t>B02: Keyboard switching, corrupt input and iPad focus
Developer points to auto-switch setting; subsequent users state it does not work.
SwiftKey on EMUI 12 report includes random kana on typing/delete.
Comment adds iPad keyboard disappearing between answers on iOS 17/26.
src/data/patchNotes.ts:861 later Android auto-switch support may resolve one branch only.</x:t>
        </x:r>
      </x:text>
    </x:comment>
    <x:comment ref="C53" authorId="0">
      <x:text>
        <x:r>
          <x:t>B30: Stroke order visualization
Developer could not reproduce on own iPhone 13/17; suspects settings.
Second user 2026-07-02: iPad Pro animation skips to complete after 2–3 strokes.
src/components/StrokeOrderAnimation.tsx</x:t>
        </x:r>
      </x:text>
    </x:comment>
    <x:comment ref="C54" authorId="0">
      <x:text>
        <x:r>
          <x:t>B15: iPhone lesson notes and reading hints are clipped
C16 reporter 2026-08-17 clarifies note gets cut off
src/components/LessonDetailScreen.tsx:2152 renderNoteCard uses FormattedNoteText
https://github.com/Portego-00/Kakehashi/pull/78
Comment 2026-05-12: iPhone16Pro iOS26.5
src/components/LessonDetailScreen.tsx:2131
B31: Select and copy lesson text
Comment 2026-06-10: unified view and batch size now works
src/components/LessonDetailScreen.tsx:2131
src/components/LessonDetailScreen.tsx:2364</x:t>
        </x:r>
      </x:text>
    </x:comment>
    <x:comment ref="C55" authorId="0">
      <x:text>
        <x:r>
          <x:t>V12: Ascending order and lowest level first working together
Comment 2026-06-19: setting added
src/utils/lessonOrdering.ts:375
src/utils/lessonOrdering.ts:390</x:t>
        </x:r>
      </x:text>
    </x:comment>
    <x:comment ref="C56" authorId="0">
      <x:text>
        <x:r>
          <x:t>V05: Spotify personal-client connection setup
src/services/spotifyService.ts:202
src/services/spotifyService.ts:206
src/services/__tests__/spotifyService.test.ts:179
Community comments 2026-06-09 through 2026-08-30</x:t>
        </x:r>
      </x:text>
    </x:comment>
    <x:comment ref="C57" authorId="0">
      <x:text>
        <x:r>
          <x:t>B27: Custom subject list filter
Comment 2026-06-09: everything works perfectly
Comments 2026-06-10 and 2026-06-14: new remaining scope
src/utils/subjectListItemSorting.ts:29
app/(app)/subject-list/[id].tsx:506</x:t>
        </x:r>
      </x:text>
    </x:comment>
    <x:comment ref="C58" authorId="0">
      <x:text>
        <x:r>
          <x:t>V14: A couple of requests 
src/utils/crosswordGenerator.ts:67
app/(app)/test-session.tsx:772
Comment 2026-08-06: keyboard implemented
224a548b: crossword keyboard + Anki shortcuts</x:t>
        </x:r>
      </x:text>
    </x:comment>
    <x:comment ref="C59" authorId="0">
      <x:text>
        <x:r>
          <x:t>V08: Voices
src/utils/azureSpeech.ts:73
src/utils/azureSpeech.ts:327
src/utils/azureSpeech.ts:455
src/utils/azureSpeech.ts:576</x:t>
        </x:r>
      </x:text>
    </x:comment>
    <x:comment ref="C60" authorId="0">
      <x:text>
        <x:r>
          <x:t>B17: [Android] Daily Lesson Reminder issues
src/utils/reviewNotifications.ts:118
src/utils/reviewNotifications.ts:139
src/utils/reviewNotifications.ts:486
Community report 2026-05-21</x:t>
        </x:r>
      </x:text>
    </x:comment>
    <x:comment ref="C61" authorId="0">
      <x:text>
        <x:r>
          <x:t>B09: Dashboard lesson and review counts become stale
Comments 2026-05-22 and 2026-05-24: refreshed counts revert and multiple affected users
src/services/studyProgressAssignmentCacheService.ts
src/services/offlineStudyProgressService.ts
Report 2026-07-28; developer investigating 2026-08-05.
src/components/LessonsReviewsCard.tsx:173 uses assignment available_at.
src/data/patchNotes.ts:276 contains later Android review-count fix; report platform is unspecified.
C53 body/comments match stale dashboard counts corrected on entering lessons/reviews; multiple Android reports.</x:t>
        </x:r>
      </x:text>
    </x:comment>
    <x:comment ref="C62" authorId="0">
      <x:text>
        <x:r>
          <x:t>V13: Keeping Item Type Order sorting while on Most Overdue First review
src/utils/reviewOrdering.ts:324
src/utils/reviewOrdering.ts:334
src/utils/reviewOrdering.ts:346</x:t>
        </x:r>
      </x:text>
    </x:comment>
    <x:comment ref="C63" authorId="0">
      <x:text>
        <x:r>
          <x:t>B05: Android vocabulary lessons stall and audio overlaps
Community comments 2026-05-18 through 2026-05-24
src/components/LessonDetailScreen.tsx:1412
src/components/LessonDetailScreen.tsx:4673
src/components/LessonDetailScreen.tsx:4766</x:t>
        </x:r>
      </x:text>
    </x:comment>
    <x:comment ref="C64" authorId="0">
      <x:text>
        <x:r>
          <x:t>B49: Apple Watch review-count complication
Comments 2026-05-19 and 2026-05-31
src/widgets/homeWidget.tsx
docs/watch-audit-2026-09-09/README.md: Existing functionality
C65 same repeated-session writing symptom
V04: Repeated handwriting sessions get stuck loading
C65 comment 2026-05-09: redraw/layout fixed
C56 comment 2026-05-31: precise study-again repro
app/(app)/writing-practice-freehand-session.tsx:420
src/components/KanjiFreehandQuiz.tsx:745</x:t>
        </x:r>
      </x:text>
    </x:comment>
    <x:comment ref="C65" authorId="0">
      <x:text>
        <x:r>
          <x:t>B48: Context Sentence TTS Voice
Comments 2026-05-14: enhanced works, Siri does not
src/utils/azureSpeech.ts:576</x:t>
        </x:r>
      </x:text>
    </x:comment>
    <x:comment ref="C66" authorId="0">
      <x:text>
        <x:r>
          <x:t>B15: iPhone lesson notes and reading hints are clipped
C16 reporter 2026-08-17 clarifies note gets cut off
src/components/LessonDetailScreen.tsx:2152 renderNoteCard uses FormattedNoteText
https://github.com/Portego-00/Kakehashi/pull/78
Comment 2026-05-12: iPhone16Pro iOS26.5
src/components/LessonDetailScreen.tsx:2131</x:t>
        </x:r>
      </x:text>
    </x:comment>
    <x:comment ref="C67" authorId="0">
      <x:text>
        <x:r>
          <x:t>B28: Recent Unlocks Suggestion 
Comment 2026-05-11: lesson start still not added
app/(app)/unlocks.tsx:146
app/(app)/unlocks.tsx:175
app/(app)/unlocks.tsx:399</x:t>
        </x:r>
      </x:text>
    </x:comment>
    <x:comment ref="C68" authorId="0">
      <x:text>
        <x:r>
          <x:t>V07: Context cloze replaces the wrong sentence segment
Comments 2026-05-08 and 2026-05-13: redesign and keyboard fixed
Final image comments 2026-05-13
src/components/ContextSentenceQuestionScreen.tsx:178
src/components/ContextSentenceQuestionScreen.tsx:797</x:t>
        </x:r>
      </x:text>
    </x:comment>
    <x:comment ref="C69" authorId="0">
      <x:text>
        <x:r>
          <x:t>B32: Small reset bug
Comment 2026-05-04: two actual reset bars plus current
src/utils/levelProgress.ts:59
src/utils/levelProgress.ts:566</x:t>
        </x:r>
      </x:text>
    </x:comment>
    <x:comment ref="C70" authorId="0">
      <x:text>
        <x:r>
          <x:t>B06: Android review kanji shrink to unreadable size
Samsung Galaxy S21 Android 15; Gboard opening shrinks question text.
Second user confirms 2026-06-30.
Related C39 still reports failure on 2026-08-05 after PR #43.
ReviewQuestionScreen character Text uses adjustsFontSizeToFit; keyed prompt/keyboard-avoidance layout.
PR #43 f6a1057b tried autosizing cache fix on 2026-06-21.
Developer asks whether PR fixed it; user 2026-08-05 says still happening and font-toggle restores size.
B07: Android review text clipped
src/components/ReviewQuestionScreen.tsx
B21: Android delayed back navigation and image uploads
Comments 2026-05-10 and 2026-05-24
src/components/ReviewQuestionScreen.tsx</x:t>
        </x:r>
      </x:text>
    </x:comment>
    <x:comment ref="C71" authorId="0">
      <x:text>
        <x:r>
          <x:t>V23: Context sentences audio not working
Developer announcement 2026-05-01 and release comment 2026-05-02
src/utils/azureSpeech.ts:373
src/utils/azureSpeech.ts:576</x:t>
        </x:r>
      </x:text>
    </x:comment>
    <x:comment ref="C72" authorId="0">
      <x:text>
        <x:r>
          <x:t>B20: AirPlay and screen share don’t work
Comments 2026-05-03 and 2026-05-08
src/components/ReviewQuestionScreen.tsx</x:t>
        </x:r>
      </x:text>
    </x:comment>
    <x:comment ref="C73" authorId="0">
      <x:text>
        <x:r>
          <x:t>V04: Repeated handwriting sessions get stuck loading
C65 comment 2026-05-09: redraw/layout fixed
C56 comment 2026-05-31: precise study-again repro
app/(app)/writing-practice-freehand-session.tsx:420
src/components/KanjiFreehandQuiz.tsx:745</x:t>
        </x:r>
      </x:text>
    </x:comment>
    <x:comment ref="C74" authorId="0">
      <x:text>
        <x:r>
          <x:t>V06: iPad Keyboard Arrow Keys
Comments 2026-04-16 and 2026-04-25
src/components/LessonDetailScreen.tsx:5111
src/components/LessonDetailScreen.tsx:5193</x:t>
        </x:r>
      </x:text>
    </x:comment>
    <x:comment ref="C75" authorId="0">
      <x:text>
        <x:r>
          <x:t>B49: Apple Watch review-count complication
Comments 2026-05-19 and 2026-05-31
src/widgets/homeWidget.tsx
docs/watch-audit-2026-09-09/README.md: Existing functionality
C65 same repeated-session writing symptom
B50: Apple Watch reviews
6195fcf9 Integrate current mobile app with refined Watch companion
Watch branch: docs/watch-ui/README.md: Still needed before release
docs/watch-audit-2026-09-09/README.md</x:t>
        </x:r>
      </x:text>
    </x:comment>
    <x:comment ref="C76" authorId="0">
      <x:text>
        <x:r>
          <x:t>B46: Japanese-to-Japanese learning options
src/utils/answerChecker.ts
src/components/CustomContextSentencesSection.tsx</x:t>
        </x:r>
      </x:text>
    </x:comment>
    <x:comment ref="C77" authorId="0">
      <x:text>
        <x:r>
          <x:t>B38: Avoid fallback-font flicker during reviews
src/components/ReviewQuestionScreen.tsx</x:t>
        </x:r>
      </x:text>
    </x:comment>
    <x:comment ref="C78" authorId="0">
      <x:text>
        <x:r>
          <x:t>B22: Submit context multiple-choice answers in one tap
src/components/ContextSentenceQuestionScreen.tsx</x:t>
        </x:r>
      </x:text>
    </x:comment>
    <x:comment ref="C79" authorId="0">
      <x:text>
        <x:r>
          <x:t>B23: Play context sentence audio after correct answers
src/components/ContextSentenceQuestionScreen.tsx</x:t>
        </x:r>
      </x:text>
    </x:comment>
    <x:comment ref="C80" authorId="0">
      <x:text>
        <x:r>
          <x:t>B08: Multiple-choice answers disappear
https://github.com/Portego-00/Kakehashi/pull/64</x:t>
        </x:r>
      </x:text>
    </x:comment>
    <x:comment ref="C81" authorId="0">
      <x:text>
        <x:r>
          <x:t>B45: Custom context sentence improvements
src/components/CustomContextSentencesSection.tsx
src/services/contextSentencePracticeService.ts</x:t>
        </x:r>
      </x:text>
    </x:comment>
    <x:comment ref="C82" authorId="0">
      <x:text>
        <x:r>
          <x:t>V01: Resume only the originally selected lessons
https://github.com/Portego-00/Kakehashi/pull/79</x:t>
        </x:r>
      </x:text>
    </x:comment>
    <x:comment ref="C83" authorId="0">
      <x:text>
        <x:r>
          <x:t>B12: Note editor usability and formatting extensions
https://github.com/Portego-00/Kakehashi/pull/78
C14 developer/reporter confirmation 2026-08-23/24
C14 latest comment 2026-09-03 requests retaining formatting on cut/paste
src/utils/note-formatting.ts:1 only bold/italic/underline supported
https://github.com/Portego-00/Kakehashi/pull/78
src/components/__tests__/note-visual-editor-interactions.test.tsx:692 clipboard regressions in local draft</x:t>
        </x:r>
      </x:text>
    </x:comment>
    <x:comment ref="C84" authorId="0">
      <x:text>
        <x:r>
          <x:t>B35: Integrated notebook and shared sentences
https://github.com/Portego-00/Kakehashi/pull/73
C08 body: independent notes, hierarchy/search, links to reading/meaning/context notes
https://github.com/Portego-00/Kakehashi/pull/73
src/features/notebooks/NotebookWorkspace.tsx
web/src/features/notebooks/SubjectNotebookSection.tsx
src/utils/portegoAccess.ts:1</x:t>
        </x:r>
      </x:text>
    </x:comment>
    <x:comment ref="C85" authorId="0">
      <x:text>
        <x:r>
          <x:t>B11: Reliable links in subject notes
https://github.com/Portego-00/Kakehashi/pull/78
C09 reporter comment 2026-09-08 thanks for fixing
https://github.com/Portego-00/Kakehashi/issues/65
https://github.com/Portego-00/Kakehashi/pull/78
src/components/note-visual-editor-content.tsx:1208 uncommitted suffix handling
src/components/note-visual-editor-content.tsx:1244 uncommitted future-link typing toggle</x:t>
        </x:r>
      </x:text>
    </x:comment>
    <x:comment ref="C86" authorId="0">
      <x:text>
        <x:r>
          <x:t>B25: Export context sentences to AnkiDroid
https://github.com/Portego-00/Kakehashi/tree/f/anki-export-android</x:t>
        </x:r>
      </x:text>
    </x:comment>
    <x:comment ref="C87" authorId="0">
      <x:text>
        <x:r>
          <x:t>B07: Android review text clipped
src/components/ReviewQuestionScreen.tsx</x:t>
        </x:r>
      </x:text>
    </x:comment>
    <x:comment ref="C88" authorId="0">
      <x:text>
        <x:r>
          <x:t>B39: Level recap animation overlaps
src/components/wrapped/slides/SubjectDropSlide.tsx</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sz val="10"/>
      <x:color rgb="FF243247"/>
      <x:name val="Arial"/>
    </x:font>
    <x:font>
      <x:b/>
      <x:sz val="16"/>
      <x:color rgb="FF243247"/>
      <x:name val="Arial"/>
    </x:font>
    <x:font>
      <x:i/>
      <x:sz val="10"/>
      <x:color rgb="FF64748B"/>
      <x:name val="Arial"/>
    </x:font>
    <x:font>
      <x:b/>
      <x:sz val="10"/>
      <x:color rgb="FFFFFFFF"/>
      <x:name val="Arial"/>
    </x:font>
    <x:font>
      <x:b/>
      <x:sz val="10"/>
      <x:color rgb="FF243247"/>
      <x:name val="Arial"/>
    </x:font>
    <x:font>
      <x:sz val="10"/>
      <x:color rgb="FF28629C"/>
      <x:name val="Arial"/>
    </x:font>
  </x:fonts>
  <x:fills count="5">
    <x:fill>
      <x:patternFill patternType="none"/>
    </x:fill>
    <x:fill>
      <x:patternFill patternType="gray125"/>
    </x:fill>
    <x:fill>
      <x:patternFill patternType="solid">
        <x:fgColor rgb="FF263951"/>
      </x:patternFill>
    </x:fill>
    <x:fill>
      <x:patternFill patternType="solid">
        <x:fgColor rgb="FFFFFFFF"/>
      </x:patternFill>
    </x:fill>
    <x:fill>
      <x:patternFill patternType="solid">
        <x:fgColor rgb="FFF4F6F9"/>
      </x:patternFill>
    </x:fill>
  </x:fills>
  <x:borders count="2">
    <x:border/>
    <x:border>
      <x:bottom style="thin">
        <x:color rgb="FFC7D1DF"/>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1" fillId="3"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horizontal="left" vertical="center"/>
    </x:xf>
    <x:xf numFmtId="200" fontId="5" fillId="0" borderId="0" xfId="0" applyNumberFormat="1" applyFont="1" applyFill="1" applyBorder="1" applyAlignment="1">
      <x:alignment horizontal="left" vertical="center"/>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1" fillId="0" borderId="0" xfId="0" applyNumberFormat="1" applyFont="1" applyFill="1" applyBorder="1" applyAlignment="1">
      <x:alignment horizontal="left" vertical="center"/>
    </x:xf>
  </x:cellXfs>
  <x:cellStyles count="1">
    <x:cellStyle name="Normal" xfId="0"/>
  </x:cellStyles>
  <x:dxfs count="14">
    <x:dxf>
      <x:font>
        <x:b/>
        <x:color rgb="FF9B2420"/>
      </x:font>
      <x:fill>
        <x:patternFill patternType="solid">
          <x:bgColor rgb="FFFDE9E7"/>
        </x:patternFill>
      </x:fill>
    </x:dxf>
    <x:dxf>
      <x:font>
        <x:b/>
        <x:color rgb="FF8B5B08"/>
      </x:font>
      <x:fill>
        <x:patternFill patternType="solid">
          <x:bgColor rgb="FFFFF1D2"/>
        </x:patternFill>
      </x:fill>
    </x:dxf>
    <x:dxf>
      <x:font>
        <x:b/>
        <x:color rgb="FF335477"/>
      </x:font>
      <x:fill>
        <x:patternFill patternType="solid">
          <x:bgColor rgb="FFEAF0F8"/>
        </x:patternFill>
      </x:fill>
    </x:dxf>
    <x:dxf>
      <x:font>
        <x:b/>
        <x:color rgb="FF8B5B08"/>
      </x:font>
      <x:fill>
        <x:patternFill patternType="solid">
          <x:bgColor rgb="FFFFF1D2"/>
        </x:patternFill>
      </x:fill>
    </x:dxf>
    <x:dxf>
      <x:font>
        <x:b/>
        <x:color rgb="FF4D6258"/>
      </x:font>
      <x:fill>
        <x:patternFill patternType="solid">
          <x:bgColor rgb="FFEDF1F0"/>
        </x:patternFill>
      </x:fill>
    </x:dxf>
    <x:dxf>
      <x:font>
        <x:b/>
        <x:color rgb="FF4D6258"/>
      </x:font>
      <x:fill>
        <x:patternFill patternType="solid">
          <x:bgColor rgb="FFEDF1F0"/>
        </x:patternFill>
      </x:fill>
    </x:dxf>
    <x:dxf>
      <x:font>
        <x:b/>
        <x:color rgb="FF61517A"/>
      </x:font>
      <x:fill>
        <x:patternFill patternType="solid">
          <x:bgColor rgb="FFEEEAF5"/>
        </x:patternFill>
      </x:fill>
    </x:dxf>
    <x:dxf>
      <x:font>
        <x:b/>
        <x:color rgb="FF9B2420"/>
      </x:font>
      <x:fill>
        <x:patternFill patternType="solid">
          <x:bgColor rgb="FFFDE9E7"/>
        </x:patternFill>
      </x:fill>
    </x:dxf>
    <x:dxf>
      <x:font>
        <x:b/>
        <x:color rgb="FF8B5B08"/>
      </x:font>
      <x:fill>
        <x:patternFill patternType="solid">
          <x:bgColor rgb="FFFFF1D2"/>
        </x:patternFill>
      </x:fill>
    </x:dxf>
    <x:dxf>
      <x:font>
        <x:b/>
        <x:color rgb="FF335477"/>
      </x:font>
      <x:fill>
        <x:patternFill patternType="solid">
          <x:bgColor rgb="FFEAF0F8"/>
        </x:patternFill>
      </x:fill>
    </x:dxf>
    <x:dxf>
      <x:font>
        <x:b/>
        <x:color rgb="FF8B5B08"/>
      </x:font>
      <x:fill>
        <x:patternFill patternType="solid">
          <x:bgColor rgb="FFFFF1D2"/>
        </x:patternFill>
      </x:fill>
    </x:dxf>
    <x:dxf>
      <x:font>
        <x:b/>
        <x:color rgb="FF4D6258"/>
      </x:font>
      <x:fill>
        <x:patternFill patternType="solid">
          <x:bgColor rgb="FFEDF1F0"/>
        </x:patternFill>
      </x:fill>
    </x:dxf>
    <x:dxf>
      <x:font>
        <x:b/>
        <x:color rgb="FF4D6258"/>
      </x:font>
      <x:fill>
        <x:patternFill patternType="solid">
          <x:bgColor rgb="FFEDF1F0"/>
        </x:patternFill>
      </x:fill>
    </x:dxf>
    <x:dxf>
      <x:font>
        <x:b/>
        <x:color rgb="FF61517A"/>
      </x:font>
      <x:fill>
        <x:patternFill patternType="solid">
          <x:bgColor rgb="FFEEEA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d5b7438e6f445a" /><Relationship Type="http://schemas.openxmlformats.org/officeDocument/2006/relationships/theme" Target="/xl/theme/theme1.xml" Id="Rff204210a09f4a60" /><Relationship Type="http://schemas.openxmlformats.org/officeDocument/2006/relationships/sharedStrings" Target="/xl/sharedStrings.xml" Id="R3d088d3d913e4af1" /><Relationship Type="http://schemas.openxmlformats.org/officeDocument/2006/relationships/worksheet" Target="/xl/worksheets/sheet1.xml" Id="R93f524fde1224c1d" /><Relationship Type="http://schemas.openxmlformats.org/officeDocument/2006/relationships/worksheet" Target="/xl/worksheets/sheet2.xml" Id="R06ee2075f15b4ef4" /><Relationship Type="http://schemas.openxmlformats.org/officeDocument/2006/relationships/worksheet" Target="/xl/worksheets/sheet3.xml" Id="Ra186f50255f5400a" /></Relationships>
</file>

<file path=xl/tables/table1.xml><?xml version="1.0" encoding="utf-8"?>
<x:table xmlns:x="http://schemas.openxmlformats.org/spreadsheetml/2006/main" id="1" name="BacklogTable" displayName="BacklogTable" ref="A8:K59" headerRowCount="1" totalsRowCount="0" totalsRowShown="0">
  <x:autoFilter ref="A8:K59"/>
  <x:tableColumns count="11">
    <x:tableColumn id="1" name="Rank"/>
    <x:tableColumn id="2" name="Work ID"/>
    <x:tableColumn id="3" name="Priority"/>
    <x:tableColumn id="4" name="Difficulty"/>
    <x:tableColumn id="5" name="Work item"/>
    <x:tableColumn id="6" name="Effort"/>
    <x:tableColumn id="7" name="Next action"/>
    <x:tableColumn id="8" name="Current status"/>
    <x:tableColumn id="9" name="Why this priority / remaining scope"/>
    <x:tableColumn id="10" name="Report refs"/>
    <x:tableColumn id="11" name="Related work"/>
  </x:tableColumns>
  <x:tableStyleInfo name="TableStyleMedium2" showFirstColumn="0" showLastColumn="0" showRowStripes="1" showColumnStripes="0"/>
</x:table>
</file>

<file path=xl/tables/table2.xml><?xml version="1.0" encoding="utf-8"?>
<x:table xmlns:x="http://schemas.openxmlformats.org/spreadsheetml/2006/main" id="2" name="CleanupTable" displayName="CleanupTable" ref="A8:K31" headerRowCount="1" totalsRowCount="0" totalsRowShown="0">
  <x:autoFilter ref="A8:K31"/>
  <x:tableColumns count="11">
    <x:tableColumn id="1" name="Rank"/>
    <x:tableColumn id="2" name="Work ID"/>
    <x:tableColumn id="3" name="Priority"/>
    <x:tableColumn id="4" name="Difficulty"/>
    <x:tableColumn id="5" name="Work item"/>
    <x:tableColumn id="6" name="Effort"/>
    <x:tableColumn id="7" name="Next action"/>
    <x:tableColumn id="8" name="Current status"/>
    <x:tableColumn id="9" name="Why this priority / remaining scope"/>
    <x:tableColumn id="10" name="Report refs"/>
    <x:tableColumn id="11" name="Related work"/>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8:J88" headerRowCount="1" totalsRowCount="0" totalsRowShown="0">
  <x:autoFilter ref="A8:J88"/>
  <x:tableColumns count="10">
    <x:tableColumn id="1" name="Report ref"/>
    <x:tableColumn id="2" name="Origin"/>
    <x:tableColumn id="3" name="Original title"/>
    <x:tableColumn id="4" name="Created"/>
    <x:tableColumn id="5" name="Source status"/>
    <x:tableColumn id="6" name="Likes"/>
    <x:tableColumn id="7" name="Comments"/>
    <x:tableColumn id="8" name="Work IDs"/>
    <x:tableColumn id="9" name="Scope / mapping note"/>
    <x:tableColumn id="10" name="Original report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34f71e060740ab" /></Relationships>
</file>

<file path=xl/worksheets/_rels/sheet2.xml.rels>&#65279;<?xml version="1.0" encoding="utf-8"?><Relationships xmlns="http://schemas.openxmlformats.org/package/2006/relationships"><Relationship Type="http://schemas.openxmlformats.org/officeDocument/2006/relationships/table" Target="/xl/tables/table2.xml" Id="Ra97e4ce47cb4489e" /></Relationships>
</file>

<file path=xl/worksheets/_rels/sheet3.xml.rels><?xml version='1.0' encoding='utf-8'?>
<ns0:Relationships xmlns:ns0="http://schemas.openxmlformats.org/package/2006/relationships"><ns0:Relationship Type="http://schemas.openxmlformats.org/officeDocument/2006/relationships/comments" Target="/xl/comments1.xml" Id="R268db5fb524b425d" /><ns0:Relationship Type="http://schemas.openxmlformats.org/officeDocument/2006/relationships/vmlDrawing" Target="/xl/drawings/vmldrawing.vml" Id="Rc6ae28b1ea574819" /><ns0:Relationship Type="http://schemas.openxmlformats.org/officeDocument/2006/relationships/table" Target="/xl/tables/table3.xml" Id="R07289e1cc4fb40ca" /><ns0:Relationship Id="rIdSource1" Type="http://schemas.openxmlformats.org/officeDocument/2006/relationships/hyperlink" Target="https://kakehashiapp.com/community/b7c2f4f2-cd1a-4cfd-b16b-c6a3100b26d0" TargetMode="External" /><ns0:Relationship Id="rIdSource2" Type="http://schemas.openxmlformats.org/officeDocument/2006/relationships/hyperlink" Target="https://kakehashiapp.com/community/75239481-139c-46fb-b9e8-7df354be04e9" TargetMode="External" /><ns0:Relationship Id="rIdSource3" Type="http://schemas.openxmlformats.org/officeDocument/2006/relationships/hyperlink" Target="https://kakehashiapp.com/community/d579dd8d-bf98-4993-96f0-cfd7b9e52693" TargetMode="External" /><ns0:Relationship Id="rIdSource4" Type="http://schemas.openxmlformats.org/officeDocument/2006/relationships/hyperlink" Target="https://kakehashiapp.com/community/dfe23011-d902-4615-a496-a3fec02a8d04" TargetMode="External" /><ns0:Relationship Id="rIdSource5" Type="http://schemas.openxmlformats.org/officeDocument/2006/relationships/hyperlink" Target="https://kakehashiapp.com/community/32f5e9e3-dd2e-4e9a-85d5-d66e6aaac00b" TargetMode="External" /><ns0:Relationship Id="rIdSource6" Type="http://schemas.openxmlformats.org/officeDocument/2006/relationships/hyperlink" Target="https://kakehashiapp.com/community/48d02c3d-330d-4821-a5d6-0a5f40af3cac" TargetMode="External" /><ns0:Relationship Id="rIdSource7" Type="http://schemas.openxmlformats.org/officeDocument/2006/relationships/hyperlink" Target="https://kakehashiapp.com/community/35acc028-d118-49bc-9e7e-bdaa245e53b7" TargetMode="External" /><ns0:Relationship Id="rIdSource8" Type="http://schemas.openxmlformats.org/officeDocument/2006/relationships/hyperlink" Target="https://kakehashiapp.com/community/812ac88d-a237-4788-b991-8d73fac79982" TargetMode="External" /><ns0:Relationship Id="rIdSource9" Type="http://schemas.openxmlformats.org/officeDocument/2006/relationships/hyperlink" Target="https://kakehashiapp.com/community/712cdf99-45a1-445c-9acf-7f49f5e2b04b" TargetMode="External" /><ns0:Relationship Id="rIdSource10" Type="http://schemas.openxmlformats.org/officeDocument/2006/relationships/hyperlink" Target="https://kakehashiapp.com/community/9a2e1c97-a057-4282-9862-a97588e2a4d2" TargetMode="External" /><ns0:Relationship Id="rIdSource11" Type="http://schemas.openxmlformats.org/officeDocument/2006/relationships/hyperlink" Target="https://kakehashiapp.com/community/faaa8291-c807-49b8-8054-10ea3b68f6c0" TargetMode="External" /><ns0:Relationship Id="rIdSource12" Type="http://schemas.openxmlformats.org/officeDocument/2006/relationships/hyperlink" Target="https://kakehashiapp.com/community/62cd19ad-7652-46e5-b3fd-da5ac20e3d2c" TargetMode="External" /><ns0:Relationship Id="rIdSource13" Type="http://schemas.openxmlformats.org/officeDocument/2006/relationships/hyperlink" Target="https://kakehashiapp.com/community/f7ef9774-a871-4846-906a-e4428ac505d0" TargetMode="External" /><ns0:Relationship Id="rIdSource14" Type="http://schemas.openxmlformats.org/officeDocument/2006/relationships/hyperlink" Target="https://kakehashiapp.com/community/fe972916-2df7-4c98-937a-bb6b43ffcbe5" TargetMode="External" /><ns0:Relationship Id="rIdSource15" Type="http://schemas.openxmlformats.org/officeDocument/2006/relationships/hyperlink" Target="https://kakehashiapp.com/community/57cf97a3-a8b2-4d7c-8caa-0cff4024581e" TargetMode="External" /><ns0:Relationship Id="rIdSource16" Type="http://schemas.openxmlformats.org/officeDocument/2006/relationships/hyperlink" Target="https://kakehashiapp.com/community/b4b957aa-658d-4ce8-9bda-a832dbf3b0b1" TargetMode="External" /><ns0:Relationship Id="rIdSource17" Type="http://schemas.openxmlformats.org/officeDocument/2006/relationships/hyperlink" Target="https://kakehashiapp.com/community/fa2f1b96-b917-4d11-8861-f0404c7279c2" TargetMode="External" /><ns0:Relationship Id="rIdSource18" Type="http://schemas.openxmlformats.org/officeDocument/2006/relationships/hyperlink" Target="https://kakehashiapp.com/community/e06878ea-6f1d-45d8-9fd5-1fd86244a420" TargetMode="External" /><ns0:Relationship Id="rIdSource19" Type="http://schemas.openxmlformats.org/officeDocument/2006/relationships/hyperlink" Target="https://kakehashiapp.com/community/634745d3-e07c-43db-8e31-34642b57f43f" TargetMode="External" /><ns0:Relationship Id="rIdSource20" Type="http://schemas.openxmlformats.org/officeDocument/2006/relationships/hyperlink" Target="https://kakehashiapp.com/community/70dce87d-5d52-4766-b644-19565e2091ad" TargetMode="External" /><ns0:Relationship Id="rIdSource21" Type="http://schemas.openxmlformats.org/officeDocument/2006/relationships/hyperlink" Target="https://kakehashiapp.com/community/026bbef7-741a-471e-9376-0eb8ac70b1e4" TargetMode="External" /><ns0:Relationship Id="rIdSource22" Type="http://schemas.openxmlformats.org/officeDocument/2006/relationships/hyperlink" Target="https://kakehashiapp.com/community/c7a9711c-5687-4039-8e1a-9d1eb0b6b1c8" TargetMode="External" /><ns0:Relationship Id="rIdSource23" Type="http://schemas.openxmlformats.org/officeDocument/2006/relationships/hyperlink" Target="https://kakehashiapp.com/community/bf664984-5ab6-4d3b-acb7-d35c007f57c7" TargetMode="External" /><ns0:Relationship Id="rIdSource24" Type="http://schemas.openxmlformats.org/officeDocument/2006/relationships/hyperlink" Target="https://kakehashiapp.com/community/aa7db109-6306-450c-a7c0-0208c8f37ed2" TargetMode="External" /><ns0:Relationship Id="rIdSource25" Type="http://schemas.openxmlformats.org/officeDocument/2006/relationships/hyperlink" Target="https://kakehashiapp.com/community/c7fc2b2a-ec35-42df-b28b-640ca9eaccf3" TargetMode="External" /><ns0:Relationship Id="rIdSource26" Type="http://schemas.openxmlformats.org/officeDocument/2006/relationships/hyperlink" Target="https://kakehashiapp.com/community/45cadbca-ee19-49fc-85bf-ad1e4e2dcbba" TargetMode="External" /><ns0:Relationship Id="rIdSource27" Type="http://schemas.openxmlformats.org/officeDocument/2006/relationships/hyperlink" Target="https://kakehashiapp.com/community/c5eb44ba-aa53-43aa-9c51-e4d91c19971e" TargetMode="External" /><ns0:Relationship Id="rIdSource28" Type="http://schemas.openxmlformats.org/officeDocument/2006/relationships/hyperlink" Target="https://kakehashiapp.com/community/191d89d6-da16-4c8a-817e-026f2e4e274c" TargetMode="External" /><ns0:Relationship Id="rIdSource29" Type="http://schemas.openxmlformats.org/officeDocument/2006/relationships/hyperlink" Target="https://kakehashiapp.com/community/c27d54e3-c0c6-485f-b651-30baed69fd10" TargetMode="External" /><ns0:Relationship Id="rIdSource30" Type="http://schemas.openxmlformats.org/officeDocument/2006/relationships/hyperlink" Target="https://kakehashiapp.com/community/b826b522-30ff-4ffb-8c89-18c3c7ec5d78" TargetMode="External" /><ns0:Relationship Id="rIdSource31" Type="http://schemas.openxmlformats.org/officeDocument/2006/relationships/hyperlink" Target="https://kakehashiapp.com/community/e90a7b74-d924-4f1c-909c-5bdb5644ac41" TargetMode="External" /><ns0:Relationship Id="rIdSource32" Type="http://schemas.openxmlformats.org/officeDocument/2006/relationships/hyperlink" Target="https://kakehashiapp.com/community/f7479d44-1c15-4a3d-977e-516b37edfc45" TargetMode="External" /><ns0:Relationship Id="rIdSource33" Type="http://schemas.openxmlformats.org/officeDocument/2006/relationships/hyperlink" Target="https://kakehashiapp.com/community/c57e9511-f409-40e9-9281-6ed698512267" TargetMode="External" /><ns0:Relationship Id="rIdSource34" Type="http://schemas.openxmlformats.org/officeDocument/2006/relationships/hyperlink" Target="https://kakehashiapp.com/community/8d5fc0bc-cee1-4942-9352-9a29a40a0218" TargetMode="External" /><ns0:Relationship Id="rIdSource35" Type="http://schemas.openxmlformats.org/officeDocument/2006/relationships/hyperlink" Target="https://kakehashiapp.com/community/8d6a11bc-235a-4a81-b5f3-9271ce55c41f" TargetMode="External" /><ns0:Relationship Id="rIdSource36" Type="http://schemas.openxmlformats.org/officeDocument/2006/relationships/hyperlink" Target="https://kakehashiapp.com/community/5c4caeba-8084-4209-9a32-4c11a7b6e733" TargetMode="External" /><ns0:Relationship Id="rIdSource37" Type="http://schemas.openxmlformats.org/officeDocument/2006/relationships/hyperlink" Target="https://kakehashiapp.com/community/111a08ca-b8de-46d1-b42f-4b47d156b517" TargetMode="External" /><ns0:Relationship Id="rIdSource38" Type="http://schemas.openxmlformats.org/officeDocument/2006/relationships/hyperlink" Target="https://kakehashiapp.com/community/bf6c40ba-b760-4317-9503-e56a0f325b37" TargetMode="External" /><ns0:Relationship Id="rIdSource39" Type="http://schemas.openxmlformats.org/officeDocument/2006/relationships/hyperlink" Target="https://kakehashiapp.com/community/6b9027ee-7dbe-4455-ae7b-dd0972d966df" TargetMode="External" /><ns0:Relationship Id="rIdSource40" Type="http://schemas.openxmlformats.org/officeDocument/2006/relationships/hyperlink" Target="https://kakehashiapp.com/community/bbabd0a0-b6e4-4ab2-9fb6-6c221b01341e" TargetMode="External" /><ns0:Relationship Id="rIdSource41" Type="http://schemas.openxmlformats.org/officeDocument/2006/relationships/hyperlink" Target="https://kakehashiapp.com/community/9980ff84-0802-4de8-aadb-04ea68269cc2" TargetMode="External" /><ns0:Relationship Id="rIdSource42" Type="http://schemas.openxmlformats.org/officeDocument/2006/relationships/hyperlink" Target="https://kakehashiapp.com/community/7a9653a7-50d9-4f96-b191-d0a7bd8edd8f" TargetMode="External" /><ns0:Relationship Id="rIdSource43" Type="http://schemas.openxmlformats.org/officeDocument/2006/relationships/hyperlink" Target="https://kakehashiapp.com/community/b8f98809-d8bd-4265-afa5-162a5be0816f" TargetMode="External" /><ns0:Relationship Id="rIdSource44" Type="http://schemas.openxmlformats.org/officeDocument/2006/relationships/hyperlink" Target="https://kakehashiapp.com/community/192c3228-19c2-4688-9941-466ce698f72a" TargetMode="External" /><ns0:Relationship Id="rIdSource45" Type="http://schemas.openxmlformats.org/officeDocument/2006/relationships/hyperlink" Target="https://kakehashiapp.com/community/8b13cf8b-a2e0-4806-ab66-116d60067a4d" TargetMode="External" /><ns0:Relationship Id="rIdSource46" Type="http://schemas.openxmlformats.org/officeDocument/2006/relationships/hyperlink" Target="https://kakehashiapp.com/community/1b1755b7-9db4-40fa-b1ac-f403ec5bd3a7" TargetMode="External" /><ns0:Relationship Id="rIdSource47" Type="http://schemas.openxmlformats.org/officeDocument/2006/relationships/hyperlink" Target="https://kakehashiapp.com/community/e07e5d09-8da6-4ecf-b7fb-d05dcd31fbcb" TargetMode="External" /><ns0:Relationship Id="rIdSource48" Type="http://schemas.openxmlformats.org/officeDocument/2006/relationships/hyperlink" Target="https://kakehashiapp.com/community/09131848-6c3a-442e-a4f5-23c089b37c14" TargetMode="External" /><ns0:Relationship Id="rIdSource49" Type="http://schemas.openxmlformats.org/officeDocument/2006/relationships/hyperlink" Target="https://kakehashiapp.com/community/fb0cb5db-e54f-43b1-b787-97719175801a" TargetMode="External" /><ns0:Relationship Id="rIdSource50" Type="http://schemas.openxmlformats.org/officeDocument/2006/relationships/hyperlink" Target="https://kakehashiapp.com/community/ab3c1abc-7514-4c1a-aa2e-52167b44a813" TargetMode="External" /><ns0:Relationship Id="rIdSource51" Type="http://schemas.openxmlformats.org/officeDocument/2006/relationships/hyperlink" Target="https://kakehashiapp.com/community/15e1d664-8e33-4906-80da-4a04ce9be431" TargetMode="External" /><ns0:Relationship Id="rIdSource52" Type="http://schemas.openxmlformats.org/officeDocument/2006/relationships/hyperlink" Target="https://kakehashiapp.com/community/02dcd652-5079-4681-ad43-9a013cbeb0b0" TargetMode="External" /><ns0:Relationship Id="rIdSource53" Type="http://schemas.openxmlformats.org/officeDocument/2006/relationships/hyperlink" Target="https://kakehashiapp.com/community/31e14002-b92a-4d81-91b1-2fba0adc5877" TargetMode="External" /><ns0:Relationship Id="rIdSource54" Type="http://schemas.openxmlformats.org/officeDocument/2006/relationships/hyperlink" Target="https://kakehashiapp.com/community/1602049e-745f-4bdb-a146-a5b3019c0b6b" TargetMode="External" /><ns0:Relationship Id="rIdSource55" Type="http://schemas.openxmlformats.org/officeDocument/2006/relationships/hyperlink" Target="https://kakehashiapp.com/community/ab3bf99e-4094-418e-8bbe-021231ee5b3e" TargetMode="External" /><ns0:Relationship Id="rIdSource56" Type="http://schemas.openxmlformats.org/officeDocument/2006/relationships/hyperlink" Target="https://kakehashiapp.com/community/d00e65c3-7c9c-4b86-8386-fe7e376f9e28" TargetMode="External" /><ns0:Relationship Id="rIdSource57" Type="http://schemas.openxmlformats.org/officeDocument/2006/relationships/hyperlink" Target="https://kakehashiapp.com/community/b05f5e5b-a0cd-476f-955f-dbbbb73320fa" TargetMode="External" /><ns0:Relationship Id="rIdSource58" Type="http://schemas.openxmlformats.org/officeDocument/2006/relationships/hyperlink" Target="https://kakehashiapp.com/community/9f6db376-cab8-4f7e-b417-3f02aba651cc" TargetMode="External" /><ns0:Relationship Id="rIdSource59" Type="http://schemas.openxmlformats.org/officeDocument/2006/relationships/hyperlink" Target="https://kakehashiapp.com/community/9817dcf1-f971-4bb9-b0bf-80b685abafdb" TargetMode="External" /><ns0:Relationship Id="rIdSource60" Type="http://schemas.openxmlformats.org/officeDocument/2006/relationships/hyperlink" Target="https://kakehashiapp.com/community/ee5cfd98-1a2d-4d9a-9faf-948038f91386" TargetMode="External" /><ns0:Relationship Id="rIdSource61" Type="http://schemas.openxmlformats.org/officeDocument/2006/relationships/hyperlink" Target="https://kakehashiapp.com/community/2457b748-6331-4807-abee-147a65d076eb" TargetMode="External" /><ns0:Relationship Id="rIdSource62" Type="http://schemas.openxmlformats.org/officeDocument/2006/relationships/hyperlink" Target="https://kakehashiapp.com/community/7e3260de-3d3e-4d6f-8eff-0b540bf2f0a2" TargetMode="External" /><ns0:Relationship Id="rIdSource63" Type="http://schemas.openxmlformats.org/officeDocument/2006/relationships/hyperlink" Target="https://kakehashiapp.com/community/62f18945-7bb8-4ce7-9674-6cec0c15c4ce" TargetMode="External" /><ns0:Relationship Id="rIdSource64" Type="http://schemas.openxmlformats.org/officeDocument/2006/relationships/hyperlink" Target="https://kakehashiapp.com/community/63e1ac95-6bc9-42f6-ac10-d81743ca4d1f" TargetMode="External" /><ns0:Relationship Id="rIdSource65" Type="http://schemas.openxmlformats.org/officeDocument/2006/relationships/hyperlink" Target="https://kakehashiapp.com/community/22a4f4a8-f3b9-4eb4-bce1-f29941ed9655" TargetMode="External" /><ns0:Relationship Id="rIdSource66" Type="http://schemas.openxmlformats.org/officeDocument/2006/relationships/hyperlink" Target="https://kakehashiapp.com/community/d6ad6aba-e797-4403-941c-595c82db4300" TargetMode="External" /><ns0:Relationship Id="rIdSource67" Type="http://schemas.openxmlformats.org/officeDocument/2006/relationships/hyperlink" Target="https://kakehashiapp.com/community/a1687fed-7bfd-4c27-a185-cd13ba195a7f" TargetMode="External" /><ns0:Relationship Id="rIdSource68" Type="http://schemas.openxmlformats.org/officeDocument/2006/relationships/hyperlink" Target="https://github.com/Portego-00/Kakehashi/issues/80" TargetMode="External" /><ns0:Relationship Id="rIdSource69" Type="http://schemas.openxmlformats.org/officeDocument/2006/relationships/hyperlink" Target="https://github.com/Portego-00/Kakehashi/issues/77" TargetMode="External" /><ns0:Relationship Id="rIdSource70" Type="http://schemas.openxmlformats.org/officeDocument/2006/relationships/hyperlink" Target="https://github.com/Portego-00/Kakehashi/issues/76" TargetMode="External" /><ns0:Relationship Id="rIdSource71" Type="http://schemas.openxmlformats.org/officeDocument/2006/relationships/hyperlink" Target="https://github.com/Portego-00/Kakehashi/issues/75" TargetMode="External" /><ns0:Relationship Id="rIdSource72" Type="http://schemas.openxmlformats.org/officeDocument/2006/relationships/hyperlink" Target="https://github.com/Portego-00/Kakehashi/issues/72" TargetMode="External" /><ns0:Relationship Id="rIdSource73" Type="http://schemas.openxmlformats.org/officeDocument/2006/relationships/hyperlink" Target="https://github.com/Portego-00/Kakehashi/issues/71" TargetMode="External" /><ns0:Relationship Id="rIdSource74" Type="http://schemas.openxmlformats.org/officeDocument/2006/relationships/hyperlink" Target="https://github.com/Portego-00/Kakehashi/issues/70" TargetMode="External" /><ns0:Relationship Id="rIdSource75" Type="http://schemas.openxmlformats.org/officeDocument/2006/relationships/hyperlink" Target="https://github.com/Portego-00/Kakehashi/issues/68" TargetMode="External" /><ns0:Relationship Id="rIdSource76" Type="http://schemas.openxmlformats.org/officeDocument/2006/relationships/hyperlink" Target="https://github.com/Portego-00/Kakehashi/issues/66" TargetMode="External" /><ns0:Relationship Id="rIdSource77" Type="http://schemas.openxmlformats.org/officeDocument/2006/relationships/hyperlink" Target="https://github.com/Portego-00/Kakehashi/issues/65" TargetMode="External" /><ns0:Relationship Id="rIdSource78" Type="http://schemas.openxmlformats.org/officeDocument/2006/relationships/hyperlink" Target="https://github.com/Portego-00/Kakehashi/issues/58" TargetMode="External" /><ns0:Relationship Id="rIdSource79" Type="http://schemas.openxmlformats.org/officeDocument/2006/relationships/hyperlink" Target="https://github.com/Portego-00/Kakehashi/issues/54" TargetMode="External" /><ns0:Relationship Id="rIdSource80" Type="http://schemas.openxmlformats.org/officeDocument/2006/relationships/hyperlink" Target="https://github.com/Portego-00/Kakehashi/issues/50" TargetMode="External" /></ns0:Relationships>
</file>

<file path=xl/worksheets/sheet1.xml><?xml version="1.0" encoding="utf-8"?>
<x:worksheet xmlns:x="http://schemas.openxmlformats.org/spreadsheetml/2006/main">
  <x:sheetPr>
    <x:tabColor rgb="FF263951"/>
  </x:sheetPr>
  <x:sheetViews>
    <x:sheetView showGridLines="0" workbookViewId="0">
      <x:pane xSplit="2" ySplit="8" topLeftCell="C9" activePane="bottomRight" state="frozen"/>
    </x:sheetView>
  </x:sheetViews>
  <x:sheetFormatPr defaultRowHeight="15"/>
  <x:cols>
    <x:col min="1" max="1" width="6" hidden="0" customWidth="1"/>
    <x:col min="2" max="2" width="11" hidden="0" customWidth="1"/>
    <x:col min="3" max="3" width="10" hidden="0" customWidth="1"/>
    <x:col min="4" max="4" width="10" hidden="0" customWidth="1"/>
    <x:col min="5" max="5" width="39" hidden="0" customWidth="1"/>
    <x:col min="6" max="6" width="27" hidden="0" customWidth="1"/>
    <x:col min="7" max="7" width="56" hidden="0" customWidth="1"/>
    <x:col min="8" max="8" width="35" hidden="0" customWidth="1"/>
    <x:col min="9" max="9" width="56" hidden="0" customWidth="1"/>
    <x:col min="10" max="10" width="19" hidden="0" customWidth="1"/>
    <x:col min="11" max="11" width="18" hidden="0" customWidth="1"/>
  </x:cols>
  <x:sheetData>
    <x:row r="1">
      <x:c r="A1" s="2"/>
      <x:c r="B1" s="2"/>
      <x:c r="C1" s="2"/>
      <x:c r="D1" s="2"/>
      <x:c r="E1" s="2"/>
      <x:c r="F1" s="2"/>
      <x:c r="G1" s="2"/>
      <x:c r="H1" s="2"/>
      <x:c r="I1" s="2"/>
      <x:c r="J1" s="2"/>
      <x:c r="K1" s="2"/>
    </x:row>
    <x:row r="2" ht="32" customHeight="1">
      <x:c r="A2" s="4" t="str">
        <x:v>Kakehashi combined backlog</x:v>
      </x:c>
      <x:c r="B2" s="3"/>
      <x:c r="C2" s="3"/>
      <x:c r="D2" s="3"/>
      <x:c r="E2" s="3"/>
      <x:c r="F2" s="3"/>
      <x:c r="G2" s="3"/>
      <x:c r="H2" s="3"/>
      <x:c r="I2" s="3"/>
      <x:c r="J2" s="3"/>
      <x:c r="K2" s="3"/>
    </x:row>
    <x:row r="3" ht="23" customHeight="1">
      <x:c r="A3" s="5" t="str">
        <x:v>Reviewed 2026-09-09. Priority and difficulty are reviewed estimates. Difficulty: 1 easy to 5 very hard. Effort includes focused verification.</x:v>
      </x:c>
      <x:c r="B3" s="2"/>
      <x:c r="C3" s="2"/>
      <x:c r="D3" s="2"/>
      <x:c r="E3" s="2"/>
      <x:c r="F3" s="2"/>
      <x:c r="G3" s="2"/>
      <x:c r="H3" s="2"/>
      <x:c r="I3" s="2"/>
      <x:c r="J3" s="2"/>
      <x:c r="K3" s="2"/>
    </x:row>
    <x:row r="4" ht="21" customHeight="1">
      <x:c r="A4" s="2"/>
      <x:c r="B4" s="2"/>
      <x:c r="C4" s="2"/>
      <x:c r="D4" s="2"/>
      <x:c r="E4" s="2" t="str">
        <x:v>Work items</x:v>
      </x:c>
      <x:c r="F4" s="22" t="n">
        <x:f>COUNTA(B9:B59)</x:f>
        <x:v>51</x:v>
      </x:c>
      <x:c r="G4" s="2" t="str">
        <x:v>Original reports reviewed</x:v>
      </x:c>
      <x:c r="H4" s="22" t="n">
        <x:f>COUNTA(Sources!A9:A88)</x:f>
        <x:v>80</x:v>
      </x:c>
      <x:c r="I4" s="2"/>
      <x:c r="J4" s="2"/>
      <x:c r="K4" s="2"/>
    </x:row>
    <x:row r="5" ht="21" customHeight="1">
      <x:c r="A5" s="2"/>
      <x:c r="B5" s="2"/>
      <x:c r="C5" s="2"/>
      <x:c r="D5" s="2"/>
      <x:c r="E5" s="2" t="str">
        <x:v>P1: Next</x:v>
      </x:c>
      <x:c r="F5" s="22" t="n">
        <x:f>COUNTIF(C9:C59,"P1")</x:f>
        <x:v>9</x:v>
      </x:c>
      <x:c r="G5" s="2" t="str">
        <x:v>P2: Soon</x:v>
      </x:c>
      <x:c r="H5" s="22" t="n">
        <x:f>COUNTIF(C9:C59,"P2")</x:f>
        <x:v>26</x:v>
      </x:c>
      <x:c r="I5" s="2" t="str">
        <x:v>P3: Later</x:v>
      </x:c>
      <x:c r="J5" s="22" t="n">
        <x:f>COUNTIF(C9:C59,"P3")</x:f>
        <x:v>16</x:v>
      </x:c>
      <x:c r="K5" s="2"/>
    </x:row>
    <x:row r="6">
      <x:c r="A6" s="2"/>
      <x:c r="B6" s="2"/>
      <x:c r="C6" s="2"/>
      <x:c r="D6" s="2"/>
      <x:c r="E6" s="2"/>
      <x:c r="F6" s="2"/>
      <x:c r="G6" s="2"/>
      <x:c r="H6" s="2"/>
      <x:c r="I6" s="2"/>
      <x:c r="J6" s="2"/>
      <x:c r="K6" s="2"/>
    </x:row>
    <x:row r="7">
      <x:c r="A7" s="2"/>
      <x:c r="B7" s="2"/>
      <x:c r="C7" s="2"/>
      <x:c r="D7" s="2"/>
      <x:c r="E7" s="2"/>
      <x:c r="F7" s="2"/>
      <x:c r="G7" s="2"/>
      <x:c r="H7" s="2"/>
      <x:c r="I7" s="2"/>
      <x:c r="J7" s="2"/>
      <x:c r="K7" s="2"/>
    </x:row>
    <x:row r="8" ht="29" customHeight="1">
      <x:c r="A8" s="9" t="str">
        <x:v>Rank</x:v>
      </x:c>
      <x:c r="B8" s="9" t="str">
        <x:v>Work ID</x:v>
      </x:c>
      <x:c r="C8" s="9" t="str">
        <x:v>Priority</x:v>
      </x:c>
      <x:c r="D8" s="9" t="str">
        <x:v>Difficulty</x:v>
      </x:c>
      <x:c r="E8" s="9" t="str">
        <x:v>Work item</x:v>
      </x:c>
      <x:c r="F8" s="9" t="str">
        <x:v>Effort</x:v>
      </x:c>
      <x:c r="G8" s="9" t="str">
        <x:v>Next action</x:v>
      </x:c>
      <x:c r="H8" s="9" t="str">
        <x:v>Current status</x:v>
      </x:c>
      <x:c r="I8" s="9" t="str">
        <x:v>Why this priority / remaining scope</x:v>
      </x:c>
      <x:c r="J8" s="9" t="str">
        <x:v>Report refs</x:v>
      </x:c>
      <x:c r="K8" s="9" t="str">
        <x:v>Related work</x:v>
      </x:c>
    </x:row>
    <x:row r="9" ht="54" customHeight="1">
      <x:c r="A9" s="16" t="n">
        <x:v>1</x:v>
      </x:c>
      <x:c r="B9" s="16" t="str">
        <x:v>B01</x:v>
      </x:c>
      <x:c r="C9" s="16" t="str">
        <x:v>P1</x:v>
      </x:c>
      <x:c r="D9" s="18" t="n">
        <x:v>3</x:v>
      </x:c>
      <x:c r="E9" s="12" t="str">
        <x:v>Lesson notes disappear after saving</x:v>
      </x:c>
      <x:c r="F9" s="12" t="str">
        <x:v>1–3 days after verification</x:v>
      </x:c>
      <x:c r="G9" s="12" t="str">
        <x:v>Check note survives save, lesson completion, route exit, restart and remote refresh; fix persistence or cache overwrite if reproduced.</x:v>
      </x:c>
      <x:c r="H9" s="12" t="str">
        <x:v>Reported data loss; resolution unconfirmed</x:v>
      </x:c>
      <x:c r="I9" s="12" t="str">
        <x:v>User-authored reading/meaning notes disappear after lessons, damaging trust and losing work.</x:v>
      </x:c>
      <x:c r="J9" s="12" t="str">
        <x:v>C33</x:v>
      </x:c>
      <x:c r="K9" s="12" t="str"/>
    </x:row>
    <x:row r="10" ht="54" customHeight="1">
      <x:c r="A10" s="17" t="n">
        <x:v>2</x:v>
      </x:c>
      <x:c r="B10" s="17" t="str">
        <x:v>B02</x:v>
      </x:c>
      <x:c r="C10" s="17" t="str">
        <x:v>P1</x:v>
      </x:c>
      <x:c r="D10" s="19" t="n">
        <x:v>4</x:v>
      </x:c>
      <x:c r="E10" s="15" t="str">
        <x:v>Keyboard switching, corrupt input and iPad focus</x:v>
      </x:c>
      <x:c r="F10" s="15" t="str">
        <x:v>2–4 days after reproduction</x:v>
      </x:c>
      <x:c r="G10" s="15" t="str">
        <x:v>Reproduce SwiftKey character corruption first. Treat auto-switch compatibility and iPad keyboard persistence as separate remaining slices.</x:v>
      </x:c>
      <x:c r="H10" s="15" t="str">
        <x:v>Corrupt input reported; related keyboard gaps</x:v>
      </x:c>
      <x:c r="I10" s="15" t="str">
        <x:v>Incorrect text while typing/deleting can cause wrong grading. Existing auto-switch settings do not resolve reported third-party keyboard failures.</x:v>
      </x:c>
      <x:c r="J10" s="15" t="str">
        <x:v>C44</x:v>
      </x:c>
      <x:c r="K10" s="15" t="str"/>
    </x:row>
    <x:row r="11" ht="82" customHeight="1">
      <x:c r="A11" s="16" t="n">
        <x:v>3</x:v>
      </x:c>
      <x:c r="B11" s="16" t="str">
        <x:v>B03</x:v>
      </x:c>
      <x:c r="C11" s="16" t="str">
        <x:v>P1</x:v>
      </x:c>
      <x:c r="D11" s="18" t="n">
        <x:v>4</x:v>
      </x:c>
      <x:c r="E11" s="12" t="str">
        <x:v>Slow startup and completion on poor connections</x:v>
      </x:c>
      <x:c r="F11" s="12" t="str">
        <x:v>2–4 days</x:v>
      </x:c>
      <x:c r="G11" s="12" t="str">
        <x:v>Bound startup/update and completion waits; let reviews finish locally and synchronize queued progress later.</x:v>
      </x:c>
      <x:c r="H11" s="12" t="str">
        <x:v>Reported; connection trigger needs reproduction</x:v>
      </x:c>
      <x:c r="I11" s="12" t="str">
        <x:v>Minutes-long startup and completion stalls obstruct the core study loop. Developer acknowledges work needed but assumes weak connectivity; existing offline storage does not establish that waiting behavior is fixed.</x:v>
      </x:c>
      <x:c r="J11" s="12" t="str">
        <x:v>C01</x:v>
      </x:c>
      <x:c r="K11" s="12" t="str">
        <x:v>B04, B09</x:v>
      </x:c>
    </x:row>
    <x:row r="12" ht="54" customHeight="1">
      <x:c r="A12" s="17" t="n">
        <x:v>4</x:v>
      </x:c>
      <x:c r="B12" s="17" t="str">
        <x:v>B04</x:v>
      </x:c>
      <x:c r="C12" s="17" t="str">
        <x:v>P1</x:v>
      </x:c>
      <x:c r="D12" s="19" t="n">
        <x:v>4</x:v>
      </x:c>
      <x:c r="E12" s="15" t="str">
        <x:v>Lessons and reviews unavailable fully offline</x:v>
      </x:c>
      <x:c r="F12" s="15" t="str">
        <x:v>2–4 days</x:v>
      </x:c>
      <x:c r="G12" s="15" t="str">
        <x:v>Reproduce fully offline lessons/reviews with a previously synchronized account; fix cache/bootstrap readiness and offline entry.</x:v>
      </x:c>
      <x:c r="H12" s="15" t="str">
        <x:v>Unresolved; no fix confirmation.</x:v>
      </x:c>
      <x:c r="I12" s="15" t="str">
        <x:v>Complete loss of the core study workflow offline, beyond the separate slow-network timeout report.</x:v>
      </x:c>
      <x:c r="J12" s="15" t="str">
        <x:v>C30</x:v>
      </x:c>
      <x:c r="K12" s="15" t="str">
        <x:v>B03</x:v>
      </x:c>
    </x:row>
    <x:row r="13" ht="82" customHeight="1">
      <x:c r="A13" s="16" t="n">
        <x:v>5</x:v>
      </x:c>
      <x:c r="B13" s="16" t="str">
        <x:v>B05</x:v>
      </x:c>
      <x:c r="C13" s="16" t="str">
        <x:v>P1</x:v>
      </x:c>
      <x:c r="D13" s="18" t="n">
        <x:v>4</x:v>
      </x:c>
      <x:c r="E13" s="12" t="str">
        <x:v>Android vocabulary lessons stall and audio overlaps</x:v>
      </x:c>
      <x:c r="F13" s="12" t="str">
        <x:v>0.5–1 day profiling; 3–5 days if present</x:v>
      </x:c>
      <x:c r="G13" s="12" t="str">
        <x:v>Profile current Android lesson loading and audio taps; fix remaining main-thread stall, coalescing repeated playback requests.</x:v>
      </x:c>
      <x:c r="H13" s="12" t="str">
        <x:v>Reported; partial mitigations exist</x:v>
      </x:c>
      <x:c r="I13" s="12" t="str">
        <x:v>Multiple Android users unable to study vocabulary for 10–60 seconds with overlapping audio. Current source has deferred state updates, loading UI and audio request identity checks, so do not assume historical bug persists or that mitigations prove fixed.</x:v>
      </x:c>
      <x:c r="J13" s="12" t="str">
        <x:v>C55</x:v>
      </x:c>
      <x:c r="K13" s="12" t="str"/>
    </x:row>
    <x:row r="14" ht="47" customHeight="1">
      <x:c r="A14" s="17" t="n">
        <x:v>6</x:v>
      </x:c>
      <x:c r="B14" s="17" t="str">
        <x:v>B06</x:v>
      </x:c>
      <x:c r="C14" s="17" t="str">
        <x:v>P1</x:v>
      </x:c>
      <x:c r="D14" s="19" t="n">
        <x:v>3</x:v>
      </x:c>
      <x:c r="E14" s="15" t="str">
        <x:v>Android review kanji shrink to unreadable size</x:v>
      </x:c>
      <x:c r="F14" s="15" t="str">
        <x:v>1–2 days</x:v>
      </x:c>
      <x:c r="G14" s="15" t="str">
        <x:v>Merge with C39 and reproduce Android prompt autosizing across Gboard show/hide and question changes.</x:v>
      </x:c>
      <x:c r="H14" s="15" t="str">
        <x:v>Recurrence after earlier attempted fix</x:v>
      </x:c>
      <x:c r="I14" s="15" t="str">
        <x:v>Makes core question text unreadable; multiple devices/users and temporary exit/reenter workaround.</x:v>
      </x:c>
      <x:c r="J14" s="15" t="str">
        <x:v>C38, C39, C62</x:v>
      </x:c>
      <x:c r="K14" s="15" t="str"/>
    </x:row>
    <x:row r="15" ht="54" customHeight="1">
      <x:c r="A15" s="16" t="n">
        <x:v>7</x:v>
      </x:c>
      <x:c r="B15" s="16" t="str">
        <x:v>B07</x:v>
      </x:c>
      <x:c r="C15" s="16" t="str">
        <x:v>P1</x:v>
      </x:c>
      <x:c r="D15" s="18" t="n">
        <x:v>3</x:v>
      </x:c>
      <x:c r="E15" s="12" t="str">
        <x:v>Android review text clipped</x:v>
      </x:c>
      <x:c r="F15" s="12" t="str">
        <x:v>1–2 days</x:v>
      </x:c>
      <x:c r="G15" s="12" t="str">
        <x:v>Reproduce clipped review prompts with keyboard, long vocabulary and font settings; correct layout measurement.</x:v>
      </x:c>
      <x:c r="H15" s="12" t="str">
        <x:v>Reported; reproduce</x:v>
      </x:c>
      <x:c r="I15" s="12" t="str">
        <x:v>Unreadable prompts interfere with core reviews. Clipping is related to, but distinct from, tiny-font reports.</x:v>
      </x:c>
      <x:c r="J15" s="12" t="str">
        <x:v>C62, G54</x:v>
      </x:c>
      <x:c r="K15" s="12" t="str"/>
    </x:row>
    <x:row r="16" ht="54" customHeight="1">
      <x:c r="A16" s="17" t="n">
        <x:v>8</x:v>
      </x:c>
      <x:c r="B16" s="17" t="str">
        <x:v>B08</x:v>
      </x:c>
      <x:c r="C16" s="17" t="str">
        <x:v>P1</x:v>
      </x:c>
      <x:c r="D16" s="19" t="n">
        <x:v>3</x:v>
      </x:c>
      <x:c r="E16" s="15" t="str">
        <x:v>Multiple-choice answers disappear</x:v>
      </x:c>
      <x:c r="F16" s="15" t="str">
        <x:v>1–2 hours QA; 1–2 days if present</x:v>
      </x:c>
      <x:c r="G16" s="15" t="str">
        <x:v>Test persisted mode, repeated questions and audio quiz on Android; fix empty choice panels if the issue remains.</x:v>
      </x:c>
      <x:c r="H16" s="15" t="str">
        <x:v>Verify recent changes</x:v>
      </x:c>
      <x:c r="I16" s="15" t="str">
        <x:v>Recent changes in #64 address eligibility and remove the older toggle; the reported blank menu is not proven resolved.</x:v>
      </x:c>
      <x:c r="J16" s="15" t="str">
        <x:v>G72</x:v>
      </x:c>
      <x:c r="K16" s="15" t="str">
        <x:v>B10</x:v>
      </x:c>
    </x:row>
    <x:row r="17" ht="82" customHeight="1">
      <x:c r="A17" s="16" t="n">
        <x:v>9</x:v>
      </x:c>
      <x:c r="B17" s="16" t="str">
        <x:v>B09</x:v>
      </x:c>
      <x:c r="C17" s="16" t="str">
        <x:v>P1</x:v>
      </x:c>
      <x:c r="D17" s="18" t="n">
        <x:v>3</x:v>
      </x:c>
      <x:c r="E17" s="12" t="str">
        <x:v>Dashboard lesson and review counts become stale</x:v>
      </x:c>
      <x:c r="F17" s="12" t="str">
        <x:v>2–4 days</x:v>
      </x:c>
      <x:c r="G17" s="12" t="str">
        <x:v>Consolidate stale dashboard counts with C24; reproduce refresh-overwrite and reconcile caches.</x:v>
      </x:c>
      <x:c r="H17" s="12" t="str">
        <x:v>Multiple corroborating reports</x:v>
      </x:c>
      <x:c r="I17" s="12" t="str">
        <x:v>Multiple users saw lessons/reviews far above actual and refresh briefly showed correct count then reverted. Core progress trust issue; learned-kanji definition explains only some count differences. Same main outcome as C24.</x:v>
      </x:c>
      <x:c r="J17" s="12" t="str">
        <x:v>C24, C53</x:v>
      </x:c>
      <x:c r="K17" s="12" t="str">
        <x:v>B03, B18</x:v>
      </x:c>
    </x:row>
    <x:row r="18" ht="82" customHeight="1">
      <x:c r="A18" s="17" t="n">
        <x:v>10</x:v>
      </x:c>
      <x:c r="B18" s="17" t="str">
        <x:v>B10</x:v>
      </x:c>
      <x:c r="C18" s="17" t="str">
        <x:v>P2</x:v>
      </x:c>
      <x:c r="D18" s="19" t="n">
        <x:v>3</x:v>
      </x:c>
      <x:c r="E18" s="15" t="str">
        <x:v>Multiple-choice back-to-back behaviour</x:v>
      </x:c>
      <x:c r="F18" s="15" t="str">
        <x:v>1–2 days; narrow reproduction first</x:v>
      </x:c>
      <x:c r="G18" s="15" t="str">
        <x:v>Verify radical choices after fix; reproduce back-to-back reading/meaning with reporter settings, then fix or close the remaining interaction.</x:v>
      </x:c>
      <x:c r="H18" s="15" t="str">
        <x:v>Feature delivered; latest back-to-back problem remains unconfirmed</x:v>
      </x:c>
      <x:c r="I18" s="15" t="str">
        <x:v>Developer and reporter confirm multiple choice mostly works, including follow-up fixes; final developer comment says back-to-back failure could not be reproduced. Do not estimate a new multiple-choice implementation.</x:v>
      </x:c>
      <x:c r="J18" s="15" t="str">
        <x:v>C03</x:v>
      </x:c>
      <x:c r="K18" s="15" t="str">
        <x:v>B08</x:v>
      </x:c>
    </x:row>
    <x:row r="19" ht="54" customHeight="1">
      <x:c r="A19" s="16" t="n">
        <x:v>11</x:v>
      </x:c>
      <x:c r="B19" s="16" t="str">
        <x:v>B11</x:v>
      </x:c>
      <x:c r="C19" s="16" t="str">
        <x:v>P2</x:v>
      </x:c>
      <x:c r="D19" s="18" t="n">
        <x:v>3</x:v>
      </x:c>
      <x:c r="E19" s="12" t="str">
        <x:v>Reliable links in subject notes</x:v>
      </x:c>
      <x:c r="F19" s="12" t="str">
        <x:v>1–2 days</x:v>
      </x:c>
      <x:c r="G19" s="12" t="str">
        <x:v>Finish remembered character suffix and link toggling; verify selection, cursor, Japanese input and clipboard behaviour.</x:v>
      </x:c>
      <x:c r="H19" s="12" t="str">
        <x:v>Local draft changes</x:v>
      </x:c>
      <x:c r="I19" s="12" t="str">
        <x:v>Earlier link fixes merged in #78; last requests have uncommitted implementations and need verification.</x:v>
      </x:c>
      <x:c r="J19" s="12" t="str">
        <x:v>C09, C14, G65</x:v>
      </x:c>
      <x:c r="K19" s="12" t="str">
        <x:v>B01, B12</x:v>
      </x:c>
    </x:row>
    <x:row r="20" ht="54" customHeight="1">
      <x:c r="A20" s="17" t="n">
        <x:v>12</x:v>
      </x:c>
      <x:c r="B20" s="17" t="str">
        <x:v>B12</x:v>
      </x:c>
      <x:c r="C20" s="17" t="str">
        <x:v>P2</x:v>
      </x:c>
      <x:c r="D20" s="19" t="n">
        <x:v>3</x:v>
      </x:c>
      <x:c r="E20" s="15" t="str">
        <x:v>Note editor usability and formatting extensions</x:v>
      </x:c>
      <x:c r="F20" s="15" t="str">
        <x:v>0.5–1 day QA; 2–4 days extensions</x:v>
      </x:c>
      <x:c r="G20" s="15" t="str">
        <x:v>Verify merged small-iPhone layout/keyboard fixes; preserve configurable highlights, strikethrough and rich clipboard requirements.</x:v>
      </x:c>
      <x:c r="H20" s="15" t="str">
        <x:v>Partial implementation</x:v>
      </x:c>
      <x:c r="I20" s="15" t="str">
        <x:v>Bold/italic/underline and visual editing already exist. #78 addresses layout; remaining formatting additions are P3, while usability verification is P2.</x:v>
      </x:c>
      <x:c r="J20" s="15" t="str">
        <x:v>C14, G68</x:v>
      </x:c>
      <x:c r="K20" s="15" t="str">
        <x:v>B11, V03</x:v>
      </x:c>
    </x:row>
    <x:row r="21" ht="68" customHeight="1">
      <x:c r="A21" s="16" t="n">
        <x:v>13</x:v>
      </x:c>
      <x:c r="B21" s="16" t="str">
        <x:v>B13</x:v>
      </x:c>
      <x:c r="C21" s="16" t="str">
        <x:v>P2</x:v>
      </x:c>
      <x:c r="D21" s="18" t="n">
        <x:v>3</x:v>
      </x:c>
      <x:c r="E21" s="12" t="str">
        <x:v>Review word obstruction</x:v>
      </x:c>
      <x:c r="F21" s="12" t="str">
        <x:v>1–2 days; current-device reproduction first</x:v>
      </x:c>
      <x:c r="G21" s="12" t="str">
        <x:v>Verify long review words with previous-answer card visible before reveal; reserve layout space and prevent scroll gestures revealing answers if still reproducible.</x:v>
      </x:c>
      <x:c r="H21" s="12" t="str">
        <x:v>Unresolved old iPhone report; later typography fixes may affect reproduction</x:v>
      </x:c>
      <x:c r="I21" s="12" t="str">
        <x:v>Prompt obstruction harms answering; reporter says scrolling works only after reveal and may accidentally reveal. Needs current reproduction, not assumed fixed by generic font work.</x:v>
      </x:c>
      <x:c r="J21" s="12" t="str">
        <x:v>C21</x:v>
      </x:c>
      <x:c r="K21" s="12" t="str"/>
    </x:row>
    <x:row r="22" ht="54" customHeight="1">
      <x:c r="A22" s="17" t="n">
        <x:v>14</x:v>
      </x:c>
      <x:c r="B22" s="17" t="str">
        <x:v>B14</x:v>
      </x:c>
      <x:c r="C22" s="17" t="str">
        <x:v>P2</x:v>
      </x:c>
      <x:c r="D22" s="19" t="n">
        <x:v>2</x:v>
      </x:c>
      <x:c r="E22" s="15" t="str">
        <x:v>Vocab reviews not centered; level &amp; SRS not visible</x:v>
      </x:c>
      <x:c r="F22" s="15" t="str">
        <x:v>1–2 days</x:v>
      </x:c>
      <x:c r="G22" s="15" t="str">
        <x:v>Show level/SRS metadata alongside visible context hints and adjust prompt alignment with external keyboards.</x:v>
      </x:c>
      <x:c r="H22" s="15" t="str">
        <x:v>Current code still suppresses metadata in this combination.</x:v>
      </x:c>
      <x:c r="I22" s="15" t="str">
        <x:v>Two reports demonstrate incompatible enabled settings; localized review layout problem.</x:v>
      </x:c>
      <x:c r="J22" s="15" t="str">
        <x:v>C37</x:v>
      </x:c>
      <x:c r="K22" s="15" t="str"/>
    </x:row>
    <x:row r="23" ht="54" customHeight="1">
      <x:c r="A23" s="16" t="n">
        <x:v>15</x:v>
      </x:c>
      <x:c r="B23" s="16" t="str">
        <x:v>B15</x:v>
      </x:c>
      <x:c r="C23" s="16" t="str">
        <x:v>P2</x:v>
      </x:c>
      <x:c r="D23" s="18" t="n">
        <x:v>2</x:v>
      </x:c>
      <x:c r="E23" s="12" t="str">
        <x:v>iPhone lesson notes and reading hints are clipped</x:v>
      </x:c>
      <x:c r="F23" s="12" t="str">
        <x:v>1–2 days</x:v>
      </x:c>
      <x:c r="G23" s="12" t="str">
        <x:v>Reproduce long notes and reading hints in unified lessons; fix clipped content and glyphs on affected iPhones.</x:v>
      </x:c>
      <x:c r="H23" s="12" t="str">
        <x:v>Related reports; current-device check needed</x:v>
      </x:c>
      <x:c r="I23" s="12" t="str">
        <x:v>Reporter clarified actual truncation rather than inability to scroll. Recent editor/render changes mean first verify; no direct closure confirmation.</x:v>
      </x:c>
      <x:c r="J23" s="12" t="str">
        <x:v>C16, C46, C58</x:v>
      </x:c>
      <x:c r="K23" s="12" t="str">
        <x:v>B31</x:v>
      </x:c>
    </x:row>
    <x:row r="24" ht="68" customHeight="1">
      <x:c r="A24" s="17" t="n">
        <x:v>16</x:v>
      </x:c>
      <x:c r="B24" s="17" t="str">
        <x:v>B16</x:v>
      </x:c>
      <x:c r="C24" s="17" t="str">
        <x:v>P2</x:v>
      </x:c>
      <x:c r="D24" s="19" t="n">
        <x:v>3</x:v>
      </x:c>
      <x:c r="E24" s="15" t="str">
        <x:v>Large-text kanji and radical layouts</x:v>
      </x:c>
      <x:c r="F24" s="15" t="str">
        <x:v>2–3 days</x:v>
      </x:c>
      <x:c r="G24" s="15" t="str">
        <x:v>Fix kanji/radical overflow at larger text sizes. Scaling controls already exist; Mac audio is tracked under C32.</x:v>
      </x:c>
      <x:c r="H24" s="15" t="str">
        <x:v>Partially implemented; author explicitly says added scaling is unusable in kanji/radical layouts.</x:v>
      </x:c>
      <x:c r="I24" s="15" t="str">
        <x:v>Accessibility enhancement exists but breaks reading of key content at high scale.</x:v>
      </x:c>
      <x:c r="J24" s="15" t="str">
        <x:v>C40</x:v>
      </x:c>
      <x:c r="K24" s="15" t="str">
        <x:v>B33</x:v>
      </x:c>
    </x:row>
    <x:row r="25" ht="96" customHeight="1">
      <x:c r="A25" s="16" t="n">
        <x:v>17</x:v>
      </x:c>
      <x:c r="B25" s="16" t="str">
        <x:v>B17</x:v>
      </x:c>
      <x:c r="C25" s="16" t="str">
        <x:v>P2</x:v>
      </x:c>
      <x:c r="D25" s="18" t="n">
        <x:v>3</x:v>
      </x:c>
      <x:c r="E25" s="12" t="str">
        <x:v>[Android] Daily Lesson Reminder issues</x:v>
      </x:c>
      <x:c r="F25" s="12" t="str">
        <x:v>1–3 days after reproduction</x:v>
      </x:c>
      <x:c r="G25" s="12" t="str">
        <x:v>Verify duplicate cancellation; if still reproducible, serialize daily reminder scheduling and reconcile external study when refreshed.</x:v>
      </x:c>
      <x:c r="H25" s="12" t="str">
        <x:v>Old bug, partial defensive code exists</x:v>
      </x:c>
      <x:c r="I25" s="12" t="str">
        <x:v>27 duplicate notifications is significant reliability friction. Current cancellation scans all scheduled lesson-reminder IDs; concurrent rescheduling and external WaniKani completion still require device validation. Distinct from C02 review-notification grouping.</x:v>
      </x:c>
      <x:c r="J25" s="12" t="str">
        <x:v>C52</x:v>
      </x:c>
      <x:c r="K25" s="12" t="str"/>
    </x:row>
    <x:row r="26" ht="54" customHeight="1">
      <x:c r="A26" s="17" t="n">
        <x:v>18</x:v>
      </x:c>
      <x:c r="B26" s="17" t="str">
        <x:v>B18</x:v>
      </x:c>
      <x:c r="C26" s="17" t="str">
        <x:v>P2</x:v>
      </x:c>
      <x:c r="D26" s="19" t="n">
        <x:v>3</x:v>
      </x:c>
      <x:c r="E26" s="15" t="str">
        <x:v>review forecast duplicate</x:v>
      </x:c>
      <x:c r="F26" s="15" t="str">
        <x:v>1–2 days</x:v>
      </x:c>
      <x:c r="G26" s="15" t="str">
        <x:v>Reproduce warm-cache startup and reconcile Now/current-hour counts from one consistent assignment snapshot.</x:v>
      </x:c>
      <x:c r="H26" s="15" t="str">
        <x:v>Unresolved stale-data display bug</x:v>
      </x:c>
      <x:c r="I26" s="15" t="str">
        <x:v>Temporary duplicate counts self-correct after sync but misrepresent workload. Distinct from generic wrong count reports unless shared trigger established.</x:v>
      </x:c>
      <x:c r="J26" s="15" t="str">
        <x:v>C19</x:v>
      </x:c>
      <x:c r="K26" s="15" t="str"/>
    </x:row>
    <x:row r="27" ht="68" customHeight="1">
      <x:c r="A27" s="16" t="n">
        <x:v>19</x:v>
      </x:c>
      <x:c r="B27" s="16" t="str">
        <x:v>B19</x:v>
      </x:c>
      <x:c r="C27" s="16" t="str">
        <x:v>P2</x:v>
      </x:c>
      <x:c r="D27" s="18" t="n">
        <x:v>3</x:v>
      </x:c>
      <x:c r="E27" s="12" t="str">
        <x:v>Music lyrics not working?</x:v>
      </x:c>
      <x:c r="F27" s="12" t="str">
        <x:v>1–3 days investigation/fix; provider failure may require fallback work</x:v>
      </x:c>
      <x:c r="G27" s="12" t="str">
        <x:v>Reproduce automatic and manual lyrics search on Android; separate transport/provider failures from no-results. Track Spotify connection separately unless same cause is proven.</x:v>
      </x:c>
      <x:c r="H27" s="12" t="str">
        <x:v>Unresolved corroborated Android issue</x:v>
      </x:c>
      <x:c r="I27" s="12" t="str">
        <x:v>Developer suspected temporary service outage, but later two users report all songs/manual searches failing across Android devices. Cannot close from earlier works-for-me reply.</x:v>
      </x:c>
      <x:c r="J27" s="12" t="str">
        <x:v>C18</x:v>
      </x:c>
      <x:c r="K27" s="12" t="str"/>
    </x:row>
    <x:row r="28" ht="82" customHeight="1">
      <x:c r="A28" s="17" t="n">
        <x:v>20</x:v>
      </x:c>
      <x:c r="B28" s="17" t="str">
        <x:v>B20</x:v>
      </x:c>
      <x:c r="C28" s="17" t="str">
        <x:v>P2</x:v>
      </x:c>
      <x:c r="D28" s="19" t="n">
        <x:v>4</x:v>
      </x:c>
      <x:c r="E28" s="15" t="str">
        <x:v>AirPlay and screen share don’t work</x:v>
      </x:c>
      <x:c r="F28" s="15" t="str">
        <x:v>2–4 days with reproducible AirPlay/device setup</x:v>
      </x:c>
      <x:c r="G28" s="15" t="str">
        <x:v>Reproduce AirPlay geometry/keyboard occlusion; fix layout state recovery across session changes.</x:v>
      </x:c>
      <x:c r="H28" s="15" t="str">
        <x:v>Attempted fix; later report still broken</x:v>
      </x:c>
      <x:c r="I28" s="15" t="str">
        <x:v>Initial kanji disappearance changed to keyboard hiding answer input after attempted fix. Reporter provides workaround activating keyboard in another screen first. Distinct external-display trigger; do not assume same cause as Android layout.</x:v>
      </x:c>
      <x:c r="J28" s="15" t="str">
        <x:v>C64</x:v>
      </x:c>
      <x:c r="K28" s="15" t="str"/>
    </x:row>
    <x:row r="29" ht="54" customHeight="1">
      <x:c r="A29" s="16" t="n">
        <x:v>21</x:v>
      </x:c>
      <x:c r="B29" s="16" t="str">
        <x:v>B21</x:v>
      </x:c>
      <x:c r="C29" s="16" t="str">
        <x:v>P2</x:v>
      </x:c>
      <x:c r="D29" s="18" t="n">
        <x:v>3</x:v>
      </x:c>
      <x:c r="E29" s="12" t="str">
        <x:v>Android delayed back navigation and image uploads</x:v>
      </x:c>
      <x:c r="F29" s="12" t="str">
        <x:v>1–3 days</x:v>
      </x:c>
      <x:c r="G29" s="12" t="str">
        <x:v>Prevent delayed repeated Back taps from exiting a review; reproduce sub-limit screenshot upload failures. Text defects are tracked separately.</x:v>
      </x:c>
      <x:c r="H29" s="12" t="str">
        <x:v>Unresolved navigation and upload reports</x:v>
      </x:c>
      <x:c r="I29" s="12" t="str">
        <x:v>The clipping and tiny-font complaints are consolidated under G54 and C38. This work item preserves the distinct double-navigation and attachment failures.</x:v>
      </x:c>
      <x:c r="J29" s="12" t="str">
        <x:v>C62</x:v>
      </x:c>
      <x:c r="K29" s="12" t="str">
        <x:v>B06, B07</x:v>
      </x:c>
    </x:row>
    <x:row r="30" ht="54" customHeight="1">
      <x:c r="A30" s="17" t="n">
        <x:v>22</x:v>
      </x:c>
      <x:c r="B30" s="17" t="str">
        <x:v>B22</x:v>
      </x:c>
      <x:c r="C30" s="17" t="str">
        <x:v>P2</x:v>
      </x:c>
      <x:c r="D30" s="19" t="n">
        <x:v>2</x:v>
      </x:c>
      <x:c r="E30" s="15" t="str">
        <x:v>Submit context multiple-choice answers in one tap</x:v>
      </x:c>
      <x:c r="F30" s="15" t="str">
        <x:v>0.5–1 day</x:v>
      </x:c>
      <x:c r="G30" s="15" t="str">
        <x:v>Submit the tapped choice directly and preserve pause/next-question behaviour and duplicate-submit protection.</x:v>
      </x:c>
      <x:c r="H30" s="15" t="str">
        <x:v>Ready to implement</x:v>
      </x:c>
      <x:c r="I30" s="15" t="str">
        <x:v>Small repeated-flow improvement; current choice press only selects an index before a separate submit.</x:v>
      </x:c>
      <x:c r="J30" s="15" t="str">
        <x:v>G76</x:v>
      </x:c>
      <x:c r="K30" s="15" t="str"/>
    </x:row>
    <x:row r="31" ht="47" customHeight="1">
      <x:c r="A31" s="16" t="n">
        <x:v>23</x:v>
      </x:c>
      <x:c r="B31" s="16" t="str">
        <x:v>B23</x:v>
      </x:c>
      <x:c r="C31" s="16" t="str">
        <x:v>P2</x:v>
      </x:c>
      <x:c r="D31" s="18" t="n">
        <x:v>2</x:v>
      </x:c>
      <x:c r="E31" s="12" t="str">
        <x:v>Play context sentence audio after correct answers</x:v>
      </x:c>
      <x:c r="F31" s="12" t="str">
        <x:v>0.5–1.5 days</x:v>
      </x:c>
      <x:c r="G31" s="12" t="str">
        <x:v>Add after-correct playback timing and replay access without racing automatic question advancement.</x:v>
      </x:c>
      <x:c r="H31" s="12" t="str">
        <x:v>Existing audio foundation</x:v>
      </x:c>
      <x:c r="I31" s="12" t="str">
        <x:v>Speech, speed and replay controls exist; present autoplay runs at question start and feedback stops it.</x:v>
      </x:c>
      <x:c r="J31" s="12" t="str">
        <x:v>G75</x:v>
      </x:c>
      <x:c r="K31" s="12" t="str"/>
    </x:row>
    <x:row r="32" ht="68" customHeight="1">
      <x:c r="A32" s="17" t="n">
        <x:v>24</x:v>
      </x:c>
      <x:c r="B32" s="17" t="str">
        <x:v>B24</x:v>
      </x:c>
      <x:c r="C32" s="17" t="str">
        <x:v>P2</x:v>
      </x:c>
      <x:c r="D32" s="19" t="n">
        <x:v>4</x:v>
      </x:c>
      <x:c r="E32" s="15" t="str">
        <x:v>Undo last answer </x:v>
      </x:c>
      <x:c r="F32" s="15" t="str">
        <x:v>3–5 days</x:v>
      </x:c>
      <x:c r="G32" s="15" t="str">
        <x:v>Design reversible recent-answer handling with deferred submission, then implement Anki undo and correct-answer reversal.</x:v>
      </x:c>
      <x:c r="H32" s="15" t="str">
        <x:v>Unresolved; repeated follow-ups through 2026-09-03.</x:v>
      </x:c>
      <x:c r="I32" s="15" t="str">
        <x:v>Protects study accuracy after accidental ratings. Requires preserving session/SRS state and respecting already-submitted WaniKani results; not a simple back button.</x:v>
      </x:c>
      <x:c r="J32" s="15" t="str">
        <x:v>C29</x:v>
      </x:c>
      <x:c r="K32" s="15" t="str"/>
    </x:row>
    <x:row r="33" ht="54" customHeight="1">
      <x:c r="A33" s="16" t="n">
        <x:v>25</x:v>
      </x:c>
      <x:c r="B33" s="16" t="str">
        <x:v>B25</x:v>
      </x:c>
      <x:c r="C33" s="16" t="str">
        <x:v>P2</x:v>
      </x:c>
      <x:c r="D33" s="18" t="n">
        <x:v>3</x:v>
      </x:c>
      <x:c r="E33" s="12" t="str">
        <x:v>Export context sentences to AnkiDroid</x:v>
      </x:c>
      <x:c r="F33" s="12" t="str">
        <x:v>2–4 days</x:v>
      </x:c>
      <x:c r="G33" s="12" t="str">
        <x:v>Refresh the existing Android export branch, verify permission/deck/field setup, and test text export on device.</x:v>
      </x:c>
      <x:c r="H33" s="12" t="str">
        <x:v>Unmerged implementation</x:v>
      </x:c>
      <x:c r="I33" s="12" t="str">
        <x:v>Implementation exists on f/anki-export-android. Estimate is remaining text-export integration, excluding audio/images and iOS.</x:v>
      </x:c>
      <x:c r="J33" s="12" t="str">
        <x:v>G58</x:v>
      </x:c>
      <x:c r="K33" s="12" t="str"/>
    </x:row>
    <x:row r="34" ht="68" customHeight="1">
      <x:c r="A34" s="17" t="n">
        <x:v>26</x:v>
      </x:c>
      <x:c r="B34" s="17" t="str">
        <x:v>B26</x:v>
      </x:c>
      <x:c r="C34" s="17" t="str">
        <x:v>P2</x:v>
      </x:c>
      <x:c r="D34" s="19" t="n">
        <x:v>2</x:v>
      </x:c>
      <x:c r="E34" s="15" t="str">
        <x:v>Transfer lists and subjects</x:v>
      </x:c>
      <x:c r="F34" s="15" t="str">
        <x:v>1–2 days</x:v>
      </x:c>
      <x:c r="G34" s="15" t="str">
        <x:v>Add separate row selection and select-all/move/copy/remove actions inside the List tab; reuse transfer logic.</x:v>
      </x:c>
      <x:c r="H34" s="15" t="str">
        <x:v>Earlier whole-list transfer exists; requested bulk-selection UI remains</x:v>
      </x:c>
      <x:c r="I34" s="15" t="str">
        <x:v>This extends C20: asks to choose a subset in the current List tab rather than transfer the current membership set. Existing per-list transfer passes all selectedSubjectIds.</x:v>
      </x:c>
      <x:c r="J34" s="15" t="str">
        <x:v>C12, C27</x:v>
      </x:c>
      <x:c r="K34" s="15" t="str"/>
    </x:row>
    <x:row r="35" ht="68" customHeight="1">
      <x:c r="A35" s="16" t="n">
        <x:v>27</x:v>
      </x:c>
      <x:c r="B35" s="16" t="str">
        <x:v>B27</x:v>
      </x:c>
      <x:c r="C35" s="16" t="str">
        <x:v>P2</x:v>
      </x:c>
      <x:c r="D35" s="18" t="n">
        <x:v>2</x:v>
      </x:c>
      <x:c r="E35" s="12" t="str">
        <x:v>Custom subject list filter</x:v>
      </x:c>
      <x:c r="F35" s="12" t="str">
        <x:v>1–2 days for remaining slices</x:v>
      </x:c>
      <x:c r="G35" s="12" t="str">
        <x:v>Close confirmed original sorting/dismiss/scroll fixes; separately verify small-screen filter modal and add list sorting to lesson/review pickers.</x:v>
      </x:c>
      <x:c r="H35" s="12" t="str">
        <x:v>Original requests confirmed fixed; later requests unresolved</x:v>
      </x:c>
      <x:c r="I35" s="12" t="str">
        <x:v>Requester confirms original three fixes on June 9, then asks picker parity; another user reports iPhone SE filter clipping. Current custom-list sorting and scroll restoration exist.</x:v>
      </x:c>
      <x:c r="J35" s="12" t="str">
        <x:v>C49</x:v>
      </x:c>
      <x:c r="K35" s="12" t="str"/>
    </x:row>
    <x:row r="36" ht="68" customHeight="1">
      <x:c r="A36" s="17" t="n">
        <x:v>28</x:v>
      </x:c>
      <x:c r="B36" s="17" t="str">
        <x:v>B28</x:v>
      </x:c>
      <x:c r="C36" s="17" t="str">
        <x:v>P2</x:v>
      </x:c>
      <x:c r="D36" s="19" t="n">
        <x:v>2</x:v>
      </x:c>
      <x:c r="E36" s="15" t="str">
        <x:v>Recent Unlocks Suggestion </x:v>
      </x:c>
      <x:c r="F36" s="15" t="str">
        <x:v>1–2 days</x:v>
      </x:c>
      <x:c r="G36" s="15" t="str">
        <x:v>Preserve delivered started-state indication/filter; add select-unstarted → lesson queue action.</x:v>
      </x:c>
      <x:c r="H36" s="15" t="str">
        <x:v>Partly implemented; requested lesson launch absent</x:v>
      </x:c>
      <x:c r="I36" s="15" t="str">
        <x:v>Developer explicitly says starting lessons from unlock page still absent, and current page filters not-started items but shows no lesson queue/start action. Reuse existing lesson picker/session paths.</x:v>
      </x:c>
      <x:c r="J36" s="15" t="str">
        <x:v>C59</x:v>
      </x:c>
      <x:c r="K36" s="15" t="str"/>
    </x:row>
    <x:row r="37" ht="68" customHeight="1">
      <x:c r="A37" s="16" t="n">
        <x:v>29</x:v>
      </x:c>
      <x:c r="B37" s="16" t="str">
        <x:v>B29</x:v>
      </x:c>
      <x:c r="C37" s="16" t="str">
        <x:v>P2</x:v>
      </x:c>
      <x:c r="D37" s="18" t="n">
        <x:v>3</x:v>
      </x:c>
      <x:c r="E37" s="12" t="str">
        <x:v>Combine iOS Notifications</x:v>
      </x:c>
      <x:c r="F37" s="12" t="str">
        <x:v>1–3 days; native release required</x:v>
      </x:c>
      <x:c r="G37" s="12" t="str">
        <x:v>Replace earlier delivered review notifications when a newer one arrives; verify overnight/background behavior in an iOS build.</x:v>
      </x:c>
      <x:c r="H37" s="12" t="str">
        <x:v>Accepted; not confirmed delivered</x:v>
      </x:c>
      <x:c r="I37" s="12" t="str">
        <x:v>Hourly notifications accumulate and annoy users. Native scheduling/replacement behavior and background execution require more than changing display grouping.</x:v>
      </x:c>
      <x:c r="J37" s="12" t="str">
        <x:v>C02</x:v>
      </x:c>
      <x:c r="K37" s="12" t="str"/>
    </x:row>
    <x:row r="38" ht="54" customHeight="1">
      <x:c r="A38" s="17" t="n">
        <x:v>30</x:v>
      </x:c>
      <x:c r="B38" s="17" t="str">
        <x:v>B30</x:v>
      </x:c>
      <x:c r="C38" s="17" t="str">
        <x:v>P2</x:v>
      </x:c>
      <x:c r="D38" s="19" t="n">
        <x:v>3</x:v>
      </x:c>
      <x:c r="E38" s="15" t="str">
        <x:v>Stroke order visualization</x:v>
      </x:c>
      <x:c r="F38" s="15" t="str">
        <x:v>1–2 days</x:v>
      </x:c>
      <x:c r="G38" s="15" t="str">
        <x:v>Reproduce stroke-order animation on affected iPhone/iPad with accessibility and reduced-motion settings; inspect animation lifecycle.</x:v>
      </x:c>
      <x:c r="H38" s="15" t="str">
        <x:v>Unresolved; two distinct Apple-device reports, no confirmed fix.</x:v>
      </x:c>
      <x:c r="I38" s="15" t="str">
        <x:v>Breaks a study aid but ordinary reviews remain possible. More evidence is needed to distinguish never-starting from prematurely-completing animation.</x:v>
      </x:c>
      <x:c r="J38" s="15" t="str">
        <x:v>C45</x:v>
      </x:c>
      <x:c r="K38" s="15" t="str"/>
    </x:row>
    <x:row r="39" ht="68" customHeight="1">
      <x:c r="A39" s="16" t="n">
        <x:v>31</x:v>
      </x:c>
      <x:c r="B39" s="16" t="str">
        <x:v>B31</x:v>
      </x:c>
      <x:c r="C39" s="16" t="str">
        <x:v>P2</x:v>
      </x:c>
      <x:c r="D39" s="18" t="n">
        <x:v>2</x:v>
      </x:c>
      <x:c r="E39" s="12" t="str">
        <x:v>Select and copy lesson text</x:v>
      </x:c>
      <x:c r="F39" s="12" t="str">
        <x:v>0.5–1.5 days</x:v>
      </x:c>
      <x:c r="G39" s="12" t="str">
        <x:v>Verify and restore selectable meaning/reading/example text where requested. Hint clipping is grouped under C16; the initial batch-size issue self-resolved.</x:v>
      </x:c>
      <x:c r="H39" s="12" t="str">
        <x:v>Selection scope remains; batch size resolved</x:v>
      </x:c>
      <x:c r="I39" s="12" t="str">
        <x:v>User confirms two-lesson batching works after first batch. Unified lesson hint clipping matches C16/C58; current sentence/translation Text is selectable, but full selectable coverage needs checking.</x:v>
      </x:c>
      <x:c r="J39" s="12" t="str">
        <x:v>C46</x:v>
      </x:c>
      <x:c r="K39" s="12" t="str">
        <x:v>B15</x:v>
      </x:c>
    </x:row>
    <x:row r="40" ht="82" customHeight="1">
      <x:c r="A40" s="17" t="n">
        <x:v>32</x:v>
      </x:c>
      <x:c r="B40" s="17" t="str">
        <x:v>B32</x:v>
      </x:c>
      <x:c r="C40" s="17" t="str">
        <x:v>P2</x:v>
      </x:c>
      <x:c r="D40" s="19" t="n">
        <x:v>3</x:v>
      </x:c>
      <x:c r="E40" s="15" t="str">
        <x:v>Small reset bug</x:v>
      </x:c>
      <x:c r="F40" s="15" t="str">
        <x:v>1–2 days</x:v>
      </x:c>
      <x:c r="G40" s="15" t="str">
        <x:v>Reproduce duplicated reset-history bars and correct event/history deduplication or classification.</x:v>
      </x:c>
      <x:c r="H40" s="15" t="str">
        <x:v>Unresolved; explanation disputed by reporter</x:v>
      </x:c>
      <x:c r="I40" s="15" t="str">
        <x:v>Developer initially explained gray current-level bar; reporter clarified two dark reset bars besides current level. Need actual progression/reset fixture; current reset-aware utilities alone do not prove graph fixed.</x:v>
      </x:c>
      <x:c r="J40" s="15" t="str">
        <x:v>C61</x:v>
      </x:c>
      <x:c r="K40" s="15" t="str"/>
    </x:row>
    <x:row r="41" ht="68" customHeight="1">
      <x:c r="A41" s="16" t="n">
        <x:v>33</x:v>
      </x:c>
      <x:c r="B41" s="16" t="str">
        <x:v>B33</x:v>
      </x:c>
      <x:c r="C41" s="16" t="str">
        <x:v>P2</x:v>
      </x:c>
      <x:c r="D41" s="18" t="n">
        <x:v>3</x:v>
      </x:c>
      <x:c r="E41" s="12" t="str">
        <x:v>Mac context audio and vacation statistics follow-up</x:v>
      </x:c>
      <x:c r="F41" s="12" t="str">
        <x:v>1–3 days for audio; statistics unestimated</x:v>
      </x:c>
      <x:c r="G41" s="12" t="str">
        <x:v>Verify Mac context speech. Separately identify the vacation-history/statistics symptom from the supplied example before estimating that follow-up.</x:v>
      </x:c>
      <x:c r="H41" s="12" t="str">
        <x:v>Audio support unclear; statistics needs detail</x:v>
      </x:c>
      <x:c r="I41" s="12" t="str">
        <x:v>Original Mac-audio question and a separate vacation-statistics complaint share one report. Neither should be silently discarded or treated as one root cause.</x:v>
      </x:c>
      <x:c r="J41" s="12" t="str">
        <x:v>C32, C40</x:v>
      </x:c>
      <x:c r="K41" s="12" t="str">
        <x:v>B16</x:v>
      </x:c>
    </x:row>
    <x:row r="42" ht="68" customHeight="1">
      <x:c r="A42" s="17" t="n">
        <x:v>34</x:v>
      </x:c>
      <x:c r="B42" s="17" t="str">
        <x:v>B34</x:v>
      </x:c>
      <x:c r="C42" s="17" t="str">
        <x:v>P2</x:v>
      </x:c>
      <x:c r="D42" s="19" t="n">
        <x:v>4</x:v>
      </x:c>
      <x:c r="E42" s="15" t="str">
        <x:v>Save sentences from multiple sources to review lists</x:v>
      </x:c>
      <x:c r="F42" s="15" t="str">
        <x:v>4–8 days for capture/list/manual review MVP; SRS separate</x:v>
      </x:c>
      <x:c r="G42" s="15" t="str">
        <x:v>Implement reusable sentence capture and list storage across sources, then review selected sentences; scope scheduling separately.</x:v>
      </x:c>
      <x:c r="H42" s="15" t="str">
        <x:v>Accepted; notebook and custom-SRS foundations exist, universal native sentence lists not established</x:v>
      </x:c>
      <x:c r="I42" s="15" t="str">
        <x:v>Four likes and multiple corroborating comments; recurrent workflow spanning WaniKani, custom sentences, anime/news/music. Saving a sentence is a different outcome from exporting it to Anki.</x:v>
      </x:c>
      <x:c r="J42" s="15" t="str">
        <x:v>C04</x:v>
      </x:c>
      <x:c r="K42" s="15" t="str">
        <x:v>B25, B35, B45</x:v>
      </x:c>
    </x:row>
    <x:row r="43" ht="96" customHeight="1">
      <x:c r="A43" s="16" t="n">
        <x:v>35</x:v>
      </x:c>
      <x:c r="B43" s="16" t="str">
        <x:v>B35</x:v>
      </x:c>
      <x:c r="C43" s="16" t="str">
        <x:v>P2</x:v>
      </x:c>
      <x:c r="D43" s="18" t="n">
        <x:v>4</x:v>
      </x:c>
      <x:c r="E43" s="12" t="str">
        <x:v>Integrated notebook and shared sentences</x:v>
      </x:c>
      <x:c r="F43" s="12" t="str">
        <x:v>1–2 weeks</x:v>
      </x:c>
      <x:c r="G43" s="12" t="str">
        <x:v>Bridge native subject cards/context practice to shared notebook sentences and prepare rollout. Track handwriting separately.</x:v>
      </x:c>
      <x:c r="H43" s="12" t="str">
        <x:v>Partial; restricted rollout</x:v>
      </x:c>
      <x:c r="I43" s="12" t="str">
        <x:v>Notebook foundation and web bidirectional sentence editing merged in #73; native integration and public rollout remain. The later handwriting request is a P3 extension with substantial local drafts, requiring separate device validation and completion estimate.</x:v>
      </x:c>
      <x:c r="J43" s="12" t="str">
        <x:v>C08, G66</x:v>
      </x:c>
      <x:c r="K43" s="12" t="str">
        <x:v>B34, B45</x:v>
      </x:c>
    </x:row>
    <x:row r="44" ht="54" customHeight="1">
      <x:c r="A44" s="17" t="n">
        <x:v>36</x:v>
      </x:c>
      <x:c r="B44" s="17" t="str">
        <x:v>B36</x:v>
      </x:c>
      <x:c r="C44" s="17" t="str">
        <x:v>P3</x:v>
      </x:c>
      <x:c r="D44" s="19" t="n">
        <x:v>2</x:v>
      </x:c>
      <x:c r="E44" s="15" t="str">
        <x:v>Audio-only vocab reviews</x:v>
      </x:c>
      <x:c r="F44" s="15" t="str">
        <x:v>0.5–1.5 days for answer display; verify existing behavior first</x:v>
      </x:c>
      <x:c r="G44" s="15" t="str">
        <x:v>Keep completed audio-only/reading work closed; add the latest requested kanji representation or compact answer-display preference.</x:v>
      </x:c>
      <x:c r="H44" s="15" t="str">
        <x:v>Original feature and reading display delivered; kanji/customizable reveal follow-up open</x:v>
      </x:c>
      <x:c r="I44" s="15" t="str">
        <x:v>Reporter thanked the developer twice, then specifically asked for kanji on revealed answers. This is a small extension, not a new listening mode.</x:v>
      </x:c>
      <x:c r="J44" s="15" t="str">
        <x:v>C05</x:v>
      </x:c>
      <x:c r="K44" s="15" t="str"/>
    </x:row>
    <x:row r="45" ht="54" customHeight="1">
      <x:c r="A45" s="16" t="n">
        <x:v>37</x:v>
      </x:c>
      <x:c r="B45" s="16" t="str">
        <x:v>B37</x:v>
      </x:c>
      <x:c r="C45" s="16" t="str">
        <x:v>P3</x:v>
      </x:c>
      <x:c r="D45" s="18" t="n">
        <x:v>2</x:v>
      </x:c>
      <x:c r="E45" s="12" t="str">
        <x:v>Temporarily mute audio</x:v>
      </x:c>
      <x:c r="F45" s="12" t="str">
        <x:v>0.5–1.5 days</x:v>
      </x:c>
      <x:c r="G45" s="12" t="str">
        <x:v>Add a session-only autoplay override in existing review controls; restore saved preference for the next session.</x:v>
      </x:c>
      <x:c r="H45" s="12" t="str">
        <x:v>Unresolved enhancement; placement needs restraint</x:v>
      </x:c>
      <x:c r="I45" s="12" t="str">
        <x:v>Avoid toggling persistent settings each session; one commenter objects to extra screen clutter. Use existing settings/overflow space if available.</x:v>
      </x:c>
      <x:c r="J45" s="12" t="str">
        <x:v>C17</x:v>
      </x:c>
      <x:c r="K45" s="12" t="str"/>
    </x:row>
    <x:row r="46" ht="54" customHeight="1">
      <x:c r="A46" s="17" t="n">
        <x:v>38</x:v>
      </x:c>
      <x:c r="B46" s="17" t="str">
        <x:v>B38</x:v>
      </x:c>
      <x:c r="C46" s="17" t="str">
        <x:v>P3</x:v>
      </x:c>
      <x:c r="D46" s="19" t="n">
        <x:v>2</x:v>
      </x:c>
      <x:c r="E46" s="15" t="str">
        <x:v>Avoid fallback-font flicker during reviews</x:v>
      </x:c>
      <x:c r="F46" s="15" t="str">
        <x:v>0.5–1 day</x:v>
      </x:c>
      <x:c r="G46" s="15" t="str">
        <x:v>Preload or cache the chosen font and keep it stable through a question; check cold starts and downloaded fonts.</x:v>
      </x:c>
      <x:c r="H46" s="15" t="str">
        <x:v>Likely present</x:v>
      </x:c>
      <x:c r="I46" s="15" t="str">
        <x:v>Optional fonts hydrate after initial rendering. Cosmetic and separate from tiny or clipped prompt bugs.</x:v>
      </x:c>
      <x:c r="J46" s="15" t="str">
        <x:v>G77</x:v>
      </x:c>
      <x:c r="K46" s="15" t="str"/>
    </x:row>
    <x:row r="47" ht="47" customHeight="1">
      <x:c r="A47" s="16" t="n">
        <x:v>39</x:v>
      </x:c>
      <x:c r="B47" s="16" t="str">
        <x:v>B39</x:v>
      </x:c>
      <x:c r="C47" s="16" t="str">
        <x:v>P3</x:v>
      </x:c>
      <x:c r="D47" s="18" t="n">
        <x:v>2</x:v>
      </x:c>
      <x:c r="E47" s="12" t="str">
        <x:v>Level recap animation overlaps</x:v>
      </x:c>
      <x:c r="F47" s="12" t="str">
        <x:v>0.5–1.5 days</x:v>
      </x:c>
      <x:c r="G47" s="12" t="str">
        <x:v>Reproduce overlapping badges, stabilise landing positions and verify phone/tablet layouts.</x:v>
      </x:c>
      <x:c r="H47" s="12" t="str">
        <x:v>Reported; reproduce</x:v>
      </x:c>
      <x:c r="I47" s="12" t="str">
        <x:v>Visible animation defect outside the core study flow; no targeted fix found.</x:v>
      </x:c>
      <x:c r="J47" s="12" t="str">
        <x:v>G50</x:v>
      </x:c>
      <x:c r="K47" s="12" t="str"/>
    </x:row>
    <x:row r="48" ht="54" customHeight="1">
      <x:c r="A48" s="17" t="n">
        <x:v>40</x:v>
      </x:c>
      <x:c r="B48" s="17" t="str">
        <x:v>B40</x:v>
      </x:c>
      <x:c r="C48" s="17" t="str">
        <x:v>P3</x:v>
      </x:c>
      <x:c r="D48" s="19" t="n">
        <x:v>2</x:v>
      </x:c>
      <x:c r="E48" s="15" t="str">
        <x:v>Anime Title Formatting</x:v>
      </x:c>
      <x:c r="F48" s="15" t="str">
        <x:v>0.5–1 day</x:v>
      </x:c>
      <x:c r="G48" s="15" t="str">
        <x:v>Normalize/display canonical anime titles while preserving source identifiers and punctuation.</x:v>
      </x:c>
      <x:c r="H48" s="15" t="str">
        <x:v>Unresolved cosmetic request.</x:v>
      </x:c>
      <x:c r="I48" s="15" t="str">
        <x:v>Does not affect the learning functionality; external source metadata may require explicit canonical-title mapping.</x:v>
      </x:c>
      <x:c r="J48" s="15" t="str">
        <x:v>C31</x:v>
      </x:c>
      <x:c r="K48" s="15" t="str"/>
    </x:row>
    <x:row r="49" ht="82" customHeight="1">
      <x:c r="A49" s="16" t="n">
        <x:v>41</x:v>
      </x:c>
      <x:c r="B49" s="16" t="str">
        <x:v>B41</x:v>
      </x:c>
      <x:c r="C49" s="16" t="str">
        <x:v>P3</x:v>
      </x:c>
      <x:c r="D49" s="18" t="n">
        <x:v>2</x:v>
      </x:c>
      <x:c r="E49" s="12" t="str">
        <x:v>Vocabulary Kanji Composition</x:v>
      </x:c>
      <x:c r="F49" s="12" t="str">
        <x:v>1–2 days</x:v>
      </x:c>
      <x:c r="G49" s="12" t="str">
        <x:v>Expose optional vocabulary kanji composition on Anki answer reveal, reusing cached components.</x:v>
      </x:c>
      <x:c r="H49" s="12" t="str">
        <x:v>Unresolved enhancement</x:v>
      </x:c>
      <x:c r="I49" s="12" t="str">
        <x:v>Useful answer detail with existing component data; less urgent than correctness/blocked study. Current paused-detail hydration explicitly excludes effectiveAnkiCardMode, so generic detailed-answer support does not settle this request.</x:v>
      </x:c>
      <x:c r="J49" s="12" t="str">
        <x:v>C15</x:v>
      </x:c>
      <x:c r="K49" s="12" t="str"/>
    </x:row>
    <x:row r="50" ht="68" customHeight="1">
      <x:c r="A50" s="17" t="n">
        <x:v>42</x:v>
      </x:c>
      <x:c r="B50" s="17" t="str">
        <x:v>B42</x:v>
      </x:c>
      <x:c r="C50" s="17" t="str">
        <x:v>P3</x:v>
      </x:c>
      <x:c r="D50" s="19" t="n">
        <x:v>2</x:v>
      </x:c>
      <x:c r="E50" s="15" t="str">
        <x:v>Beginner reading aids and remaining romaji option</x:v>
      </x:c>
      <x:c r="F50" s="15" t="str">
        <x:v>1–2 days for remaining romaji display</x:v>
      </x:c>
      <x:c r="G50" s="15" t="str">
        <x:v>Finish optional romaji display if desired. On/kun speech, grouped examples and random order were added; bulk list actions remain under C12.</x:v>
      </x:c>
      <x:c r="H50" s="15" t="str">
        <x:v>Partially implemented.</x:v>
      </x:c>
      <x:c r="I50" s="15" t="str">
        <x:v>User confirms iOS on/kun speech works; reading-grouped examples and random ordering were answered, parts-of-speech filters exist. Romaji display remains unconfirmed.</x:v>
      </x:c>
      <x:c r="J50" s="15" t="str">
        <x:v>C27</x:v>
      </x:c>
      <x:c r="K50" s="15" t="str">
        <x:v>B26</x:v>
      </x:c>
    </x:row>
    <x:row r="51" ht="82" customHeight="1">
      <x:c r="A51" s="16" t="n">
        <x:v>43</x:v>
      </x:c>
      <x:c r="B51" s="16" t="str">
        <x:v>B43</x:v>
      </x:c>
      <x:c r="C51" s="16" t="str">
        <x:v>P3</x:v>
      </x:c>
      <x:c r="D51" s="18" t="n">
        <x:v>3</x:v>
      </x:c>
      <x:c r="E51" s="12" t="str">
        <x:v>Kana frequency and JLPT coverage refinements</x:v>
      </x:c>
      <x:c r="F51" s="12" t="str">
        <x:v>2–4 days for remaining frequency-form and coverage refinements</x:v>
      </x:c>
      <x:c r="G51" s="12" t="str">
        <x:v>Retain kana-versus-kanji frequency rank display; verify frequency thresholds and JLPT filters in remaining games. Preserve completed JLPT, frequency and radical features.</x:v>
      </x:c>
      <x:c r="H51" s="12" t="str">
        <x:v>Mostly implemented with residual feature requests.</x:v>
      </x:c>
      <x:c r="I51" s="12" t="str">
        <x:v>Author explicitly confirms JLPT lists and frequency display. Later code includes frequency-threshold custom reviews, crossword JLPT filters, and inline radical reminders. Separate kana-versus-kanji frequency display still appears absent.</x:v>
      </x:c>
      <x:c r="J51" s="12" t="str">
        <x:v>C22, C28</x:v>
      </x:c>
      <x:c r="K51" s="12" t="str">
        <x:v>V19</x:v>
      </x:c>
    </x:row>
    <x:row r="52" ht="54" customHeight="1">
      <x:c r="A52" s="17" t="n">
        <x:v>44</x:v>
      </x:c>
      <x:c r="B52" s="17" t="str">
        <x:v>B44</x:v>
      </x:c>
      <x:c r="C52" s="17" t="str">
        <x:v>P3</x:v>
      </x:c>
      <x:c r="D52" s="19" t="n">
        <x:v>3</x:v>
      </x:c>
      <x:c r="E52" s="15" t="str">
        <x:v>Additional level stats </x:v>
      </x:c>
      <x:c r="F52" s="15" t="str">
        <x:v>2–3 days</x:v>
      </x:c>
      <x:c r="G52" s="15" t="str">
        <x:v>Define and add projected WaniKani completion date; retain separate haptics support follow-up if still reproducible.</x:v>
      </x:c>
      <x:c r="H52" s="15" t="str">
        <x:v>Feature outstanding; developer says it never existed.</x:v>
      </x:c>
      <x:c r="I52" s="15" t="str">
        <x:v>A useful planning statistic, lower impact than study reliability. Haptics comment has settings guidance, not a confirmed defect.</x:v>
      </x:c>
      <x:c r="J52" s="15" t="str">
        <x:v>C25</x:v>
      </x:c>
      <x:c r="K52" s="15" t="str"/>
    </x:row>
    <x:row r="53" ht="54" customHeight="1">
      <x:c r="A53" s="16" t="n">
        <x:v>45</x:v>
      </x:c>
      <x:c r="B53" s="16" t="str">
        <x:v>B45</x:v>
      </x:c>
      <x:c r="C53" s="16" t="str">
        <x:v>P3</x:v>
      </x:c>
      <x:c r="D53" s="18" t="n">
        <x:v>5</x:v>
      </x:c>
      <x:c r="E53" s="12" t="str">
        <x:v>Custom context sentence improvements</x:v>
      </x:c>
      <x:c r="F53" s="12" t="str">
        <x:v>Several weeks; small slice 1–2 days</x:v>
      </x:c>
      <x:c r="G53" s="12" t="str">
        <x:v>Separate custom-first order and speech speed from saved sentence selection, kana/furigana, bilingual alignment and constrained AI generation.</x:v>
      </x:c>
      <x:c r="H53" s="12" t="str">
        <x:v>Split mixed scope</x:v>
      </x:c>
      <x:c r="I53" s="12" t="str">
        <x:v>Six requests including the comment. Small ordering/audio improvements merit P2; alignment and AI vocabulary restrictions need separate scoping.</x:v>
      </x:c>
      <x:c r="J53" s="12" t="str">
        <x:v>G71</x:v>
      </x:c>
      <x:c r="K53" s="12" t="str">
        <x:v>B34, B46</x:v>
      </x:c>
    </x:row>
    <x:row r="54" ht="54" customHeight="1">
      <x:c r="A54" s="17" t="n">
        <x:v>46</x:v>
      </x:c>
      <x:c r="B54" s="17" t="str">
        <x:v>B46</x:v>
      </x:c>
      <x:c r="C54" s="17" t="str">
        <x:v>P3</x:v>
      </x:c>
      <x:c r="D54" s="19" t="n">
        <x:v>5</x:v>
      </x:c>
      <x:c r="E54" s="15" t="str">
        <x:v>Japanese-to-Japanese learning options</x:v>
      </x:c>
      <x:c r="F54" s="15" t="str">
        <x:v>Several weeks or more</x:v>
      </x:c>
      <x:c r="G54" s="15" t="str">
        <x:v>Start with hidden-English gaps and audio-to-Japanese modes; scope Japanese answer policy, dictionary, picture quizzes and localisation separately.</x:v>
      </x:c>
      <x:c r="H54" s="15" t="str">
        <x:v>Split product scope</x:v>
      </x:c>
      <x:c r="I54" s="15" t="str">
        <x:v>Full request spans seven features. Existing hidden-translation and audio foundations help, but dictionary/content and localisation remain major work.</x:v>
      </x:c>
      <x:c r="J54" s="15" t="str">
        <x:v>G80</x:v>
      </x:c>
      <x:c r="K54" s="15" t="str">
        <x:v>B36, B45</x:v>
      </x:c>
    </x:row>
    <x:row r="55" ht="47" customHeight="1">
      <x:c r="A55" s="16" t="n">
        <x:v>47</x:v>
      </x:c>
      <x:c r="B55" s="16" t="str">
        <x:v>B47</x:v>
      </x:c>
      <x:c r="C55" s="16" t="str">
        <x:v>P3</x:v>
      </x:c>
      <x:c r="D55" s="18" t="n">
        <x:v>4</x:v>
      </x:c>
      <x:c r="E55" s="12" t="str">
        <x:v>Interleave lessons and reviews (suggestion)</x:v>
      </x:c>
      <x:c r="F55" s="12" t="str">
        <x:v>4–7 days</x:v>
      </x:c>
      <x:c r="G55" s="12" t="str">
        <x:v>Define mixed-session scheduling and introduce a controlled lesson/review interleaving option.</x:v>
      </x:c>
      <x:c r="H55" s="12" t="str">
        <x:v>Unimplemented enhancement; no comments.</x:v>
      </x:c>
      <x:c r="I55" s="12" t="str">
        <x:v>Changes the central session model and progress semantics for an optional workflow.</x:v>
      </x:c>
      <x:c r="J55" s="12" t="str">
        <x:v>C34</x:v>
      </x:c>
      <x:c r="K55" s="12" t="str"/>
    </x:row>
    <x:row r="56" ht="82" customHeight="1">
      <x:c r="A56" s="17" t="n">
        <x:v>48</x:v>
      </x:c>
      <x:c r="B56" s="17" t="str">
        <x:v>B48</x:v>
      </x:c>
      <x:c r="C56" s="17" t="str">
        <x:v>P3</x:v>
      </x:c>
      <x:c r="D56" s="19" t="n">
        <x:v>3</x:v>
      </x:c>
      <x:c r="E56" s="15" t="str">
        <x:v>Context Sentence TTS Voice</x:v>
      </x:c>
      <x:c r="F56" s="15" t="str">
        <x:v>1–3 days feasibility/prototype, implementation depends on available voices</x:v>
      </x:c>
      <x:c r="G56" s="15" t="str">
        <x:v>Investigate native Japanese voice selection only if still needed with current cloud TTS; communicate supported voice choices.</x:v>
      </x:c>
      <x:c r="H56" s="15" t="str">
        <x:v>Siri voice request unresolved; enhanced-voice workaround confirmed</x:v>
      </x:c>
      <x:c r="I56" s="15" t="str">
        <x:v>Unlike broad C51 quality feedback, this explicitly requests selecting Siri Japanese voices. Current native fallback passes language/rate without a voice identifier; cloud voice restoration does not fulfill native Siri selection.</x:v>
      </x:c>
      <x:c r="J56" s="15" t="str">
        <x:v>C57</x:v>
      </x:c>
      <x:c r="K56" s="15" t="str"/>
    </x:row>
    <x:row r="57" ht="82" customHeight="1">
      <x:c r="A57" s="16" t="n">
        <x:v>49</x:v>
      </x:c>
      <x:c r="B57" s="16" t="str">
        <x:v>B49</x:v>
      </x:c>
      <x:c r="C57" s="16" t="str">
        <x:v>P3</x:v>
      </x:c>
      <x:c r="D57" s="18" t="n">
        <x:v>4</x:v>
      </x:c>
      <x:c r="E57" s="12" t="str">
        <x:v>Apple Watch review-count complication</x:v>
      </x:c>
      <x:c r="F57" s="12" t="str">
        <x:v>3–5 days</x:v>
      </x:c>
      <x:c r="G57" s="12" t="str">
        <x:v>Add a review-count complication to the Watch companion. Lockscreen widget is delivered; repeated handwriting loading is tracked under C65.</x:v>
      </x:c>
      <x:c r="H57" s="12" t="str">
        <x:v>Complication outstanding; lockscreen delivered</x:v>
      </x:c>
      <x:c r="I57" s="12" t="str">
        <x:v>Requester confirmed lockscreen widget May 19 and supplied a precise repeated-session freehand repro May 31. Watch scaffold/audit explicitly lacks complication support; full Watch reviews C67 is separate scope.</x:v>
      </x:c>
      <x:c r="J57" s="12" t="str">
        <x:v>C56, C67</x:v>
      </x:c>
      <x:c r="K57" s="12" t="str">
        <x:v>B50, V04</x:v>
      </x:c>
    </x:row>
    <x:row r="58" ht="96" customHeight="1">
      <x:c r="A58" s="17" t="n">
        <x:v>50</x:v>
      </x:c>
      <x:c r="B58" s="17" t="str">
        <x:v>B50</x:v>
      </x:c>
      <x:c r="C58" s="17" t="str">
        <x:v>P3</x:v>
      </x:c>
      <x:c r="D58" s="19" t="n">
        <x:v>5</x:v>
      </x:c>
      <x:c r="E58" s="15" t="str">
        <x:v>Apple Watch reviews</x:v>
      </x:c>
      <x:c r="F58" s="15" t="str">
        <x:v>1–3 weeks remaining</x:v>
      </x:c>
      <x:c r="G58" s="15" t="str">
        <x:v>Continue existing Watch branch only after core reliability fixes; reconcile submission/session/cache hazards and validate paired release.</x:v>
      </x:c>
      <x:c r="H58" s="15" t="str">
        <x:v>Substantial unmerged branch; release checks remain</x:v>
      </x:c>
      <x:c r="I58" s="15" t="str">
        <x:v>Current refined Watch branch integrated main and physical installs were attempted; documented blockers remain around stale replies, double count, phone cache/recovery, radicals and logout. No real review submissions verified. C56 complication is a separate smaller feature, not satisfied by review app.</x:v>
      </x:c>
      <x:c r="J58" s="15" t="str">
        <x:v>C67</x:v>
      </x:c>
      <x:c r="K58" s="15" t="str">
        <x:v>B49</x:v>
      </x:c>
    </x:row>
    <x:row r="59" ht="54" customHeight="1">
      <x:c r="A59" s="16" t="n">
        <x:v>51</x:v>
      </x:c>
      <x:c r="B59" s="16" t="str">
        <x:v>B51</x:v>
      </x:c>
      <x:c r="C59" s="16" t="str">
        <x:v>P3</x:v>
      </x:c>
      <x:c r="D59" s="18" t="n">
        <x:v>5</x:v>
      </x:c>
      <x:c r="E59" s="12" t="str">
        <x:v>Adding a cbz/cbr manga reader</x:v>
      </x:c>
      <x:c r="F59" s="12" t="str">
        <x:v>2–4 weeks for public-quality OCR and requested format coverage</x:v>
      </x:c>
      <x:c r="G59" s="12" t="str">
        <x:v>Treat as unreleased prototype: decide whether basic reading can ship separately from OCR quality, and specify CBR support.</x:v>
      </x:c>
      <x:c r="H59" s="12" t="str">
        <x:v>Existing hidden reader prototype; not fulfilled publicly.</x:v>
      </x:c>
      <x:c r="I59" s="12" t="str">
        <x:v>Developer says on-device OCR fails roughly half the time; code accepts CBZ/images but does not show CBR support. Consider product scope before committing.</x:v>
      </x:c>
      <x:c r="J59" s="12" t="str">
        <x:v>C43</x:v>
      </x:c>
      <x:c r="K59" s="12" t="str"/>
    </x:row>
    <x:row r="60">
      <x:c r="A60" s="2"/>
      <x:c r="B60" s="2"/>
      <x:c r="C60" s="2"/>
      <x:c r="D60" s="2"/>
      <x:c r="E60" s="2"/>
      <x:c r="F60" s="2"/>
      <x:c r="G60" s="2"/>
      <x:c r="H60" s="2"/>
      <x:c r="I60" s="2"/>
      <x:c r="J60" s="2"/>
      <x:c r="K60" s="2"/>
    </x:row>
  </x:sheetData>
  <x:conditionalFormatting sqref="C9:C59">
    <x:cfRule type="containsText" dxfId="0" priority="1" operator="containsText" text="P1"/>
    <x:cfRule type="containsText" dxfId="1" priority="2" operator="containsText" text="P2"/>
    <x:cfRule type="containsText" dxfId="2" priority="3" operator="containsText" text="P3"/>
    <x:cfRule type="containsText" dxfId="3" priority="4" operator="containsText" text="Verify"/>
    <x:cfRule type="containsText" dxfId="4" priority="5" operator="containsText" text="Close"/>
    <x:cfRule type="containsText" dxfId="5" priority="6" operator="containsText" text="Archive"/>
    <x:cfRule type="containsText" dxfId="6" priority="7" operator="containsText" text="Clarify"/>
  </x:conditionalFormatting>
  <x:pageMargins left="0.7" right="0.7" top="0.75" bottom="0.75" header="0.3" footer="0.3"/>
  <x:tableParts count="1">
    <x:tablePart xmlns:r="http://schemas.openxmlformats.org/officeDocument/2006/relationships" r:id="R7b34f71e060740ab"/>
  </x:tableParts>
</x:worksheet>
</file>

<file path=xl/worksheets/sheet2.xml><?xml version="1.0" encoding="utf-8"?>
<x:worksheet xmlns:x="http://schemas.openxmlformats.org/spreadsheetml/2006/main">
  <x:sheetPr>
    <x:tabColor rgb="FF9B7746"/>
  </x:sheetPr>
  <x:sheetViews>
    <x:sheetView showGridLines="0" workbookViewId="0">
      <x:pane xSplit="2" ySplit="8" topLeftCell="C9" activePane="bottomRight" state="frozen"/>
    </x:sheetView>
  </x:sheetViews>
  <x:sheetFormatPr defaultRowHeight="15"/>
  <x:cols>
    <x:col min="1" max="1" width="6" hidden="0" customWidth="1"/>
    <x:col min="2" max="2" width="11" hidden="0" customWidth="1"/>
    <x:col min="3" max="3" width="10" hidden="0" customWidth="1"/>
    <x:col min="4" max="4" width="10" hidden="0" customWidth="1"/>
    <x:col min="5" max="5" width="39" hidden="0" customWidth="1"/>
    <x:col min="6" max="6" width="27" hidden="0" customWidth="1"/>
    <x:col min="7" max="7" width="56" hidden="0" customWidth="1"/>
    <x:col min="8" max="8" width="35" hidden="0" customWidth="1"/>
    <x:col min="9" max="9" width="56" hidden="0" customWidth="1"/>
    <x:col min="10" max="10" width="19" hidden="0" customWidth="1"/>
    <x:col min="11" max="11" width="18" hidden="0" customWidth="1"/>
  </x:cols>
  <x:sheetData>
    <x:row r="1">
      <x:c r="A1" s="2"/>
      <x:c r="B1" s="2"/>
      <x:c r="C1" s="2"/>
      <x:c r="D1" s="2"/>
      <x:c r="E1" s="2"/>
      <x:c r="F1" s="2"/>
      <x:c r="G1" s="2"/>
      <x:c r="H1" s="2"/>
      <x:c r="I1" s="2"/>
      <x:c r="J1" s="2"/>
      <x:c r="K1" s="2"/>
    </x:row>
    <x:row r="2" ht="32" customHeight="1">
      <x:c r="A2" s="4" t="str">
        <x:v>Verify, clarify and close</x:v>
      </x:c>
      <x:c r="B2" s="3"/>
      <x:c r="C2" s="3"/>
      <x:c r="D2" s="3"/>
      <x:c r="E2" s="3"/>
      <x:c r="F2" s="3"/>
      <x:c r="G2" s="3"/>
      <x:c r="H2" s="3"/>
      <x:c r="I2" s="3"/>
      <x:c r="J2" s="3"/>
      <x:c r="K2" s="3"/>
    </x:row>
    <x:row r="3" ht="23" customHeight="1">
      <x:c r="A3" s="5" t="str">
        <x:v>Reviewed 2026-09-09. Priority and difficulty are reviewed estimates. Difficulty: 1 easy to 5 very hard. Effort includes focused verification.</x:v>
      </x:c>
      <x:c r="B3" s="2"/>
      <x:c r="C3" s="2"/>
      <x:c r="D3" s="2"/>
      <x:c r="E3" s="2"/>
      <x:c r="F3" s="2"/>
      <x:c r="G3" s="2"/>
      <x:c r="H3" s="2"/>
      <x:c r="I3" s="2"/>
      <x:c r="J3" s="2"/>
      <x:c r="K3" s="2"/>
    </x:row>
    <x:row r="4" ht="21" customHeight="1">
      <x:c r="A4" s="2"/>
      <x:c r="B4" s="2"/>
      <x:c r="C4" s="2"/>
      <x:c r="D4" s="2"/>
      <x:c r="E4" s="2" t="str">
        <x:v>Work items</x:v>
      </x:c>
      <x:c r="F4" s="22" t="n">
        <x:f>COUNTA(B9:B31)</x:f>
        <x:v>23</x:v>
      </x:c>
      <x:c r="G4" s="2" t="str">
        <x:v>Original reports reviewed</x:v>
      </x:c>
      <x:c r="H4" s="22" t="n">
        <x:f>COUNTA(Sources!A9:A88)</x:f>
        <x:v>80</x:v>
      </x:c>
      <x:c r="I4" s="2"/>
      <x:c r="J4" s="2"/>
      <x:c r="K4" s="2"/>
    </x:row>
    <x:row r="5" ht="21" customHeight="1">
      <x:c r="A5" s="2"/>
      <x:c r="B5" s="2"/>
      <x:c r="C5" s="2"/>
      <x:c r="D5" s="2"/>
      <x:c r="E5" s="2" t="str">
        <x:v>Verify</x:v>
      </x:c>
      <x:c r="F5" s="22" t="n">
        <x:f>COUNTIF(C9:C31,"Verify")</x:f>
        <x:v>14</x:v>
      </x:c>
      <x:c r="G5" s="2" t="str">
        <x:v>Close / Archive</x:v>
      </x:c>
      <x:c r="H5" s="22" t="n">
        <x:f>COUNTIF(C9:C31,"Archive")+COUNTIF(C9:C31,"Close")</x:f>
        <x:v>8</x:v>
      </x:c>
      <x:c r="I5" s="2" t="str">
        <x:v>Clarify</x:v>
      </x:c>
      <x:c r="J5" s="22" t="n">
        <x:f>COUNTIF(C9:C31,"Clarify")</x:f>
        <x:v>1</x:v>
      </x:c>
      <x:c r="K5" s="2"/>
    </x:row>
    <x:row r="6">
      <x:c r="A6" s="2"/>
      <x:c r="B6" s="2"/>
      <x:c r="C6" s="2"/>
      <x:c r="D6" s="2"/>
      <x:c r="E6" s="2"/>
      <x:c r="F6" s="2"/>
      <x:c r="G6" s="2"/>
      <x:c r="H6" s="2"/>
      <x:c r="I6" s="2"/>
      <x:c r="J6" s="2"/>
      <x:c r="K6" s="2"/>
    </x:row>
    <x:row r="7">
      <x:c r="A7" s="2"/>
      <x:c r="B7" s="2"/>
      <x:c r="C7" s="2"/>
      <x:c r="D7" s="2"/>
      <x:c r="E7" s="2"/>
      <x:c r="F7" s="2"/>
      <x:c r="G7" s="2"/>
      <x:c r="H7" s="2"/>
      <x:c r="I7" s="2"/>
      <x:c r="J7" s="2"/>
      <x:c r="K7" s="2"/>
    </x:row>
    <x:row r="8" ht="29" customHeight="1">
      <x:c r="A8" s="9" t="str">
        <x:v>Rank</x:v>
      </x:c>
      <x:c r="B8" s="9" t="str">
        <x:v>Work ID</x:v>
      </x:c>
      <x:c r="C8" s="9" t="str">
        <x:v>Priority</x:v>
      </x:c>
      <x:c r="D8" s="9" t="str">
        <x:v>Difficulty</x:v>
      </x:c>
      <x:c r="E8" s="9" t="str">
        <x:v>Work item</x:v>
      </x:c>
      <x:c r="F8" s="9" t="str">
        <x:v>Effort</x:v>
      </x:c>
      <x:c r="G8" s="9" t="str">
        <x:v>Next action</x:v>
      </x:c>
      <x:c r="H8" s="9" t="str">
        <x:v>Current status</x:v>
      </x:c>
      <x:c r="I8" s="9" t="str">
        <x:v>Why this priority / remaining scope</x:v>
      </x:c>
      <x:c r="J8" s="9" t="str">
        <x:v>Report refs</x:v>
      </x:c>
      <x:c r="K8" s="9" t="str">
        <x:v>Related work</x:v>
      </x:c>
    </x:row>
    <x:row r="9" ht="54" customHeight="1">
      <x:c r="A9" s="16" t="n">
        <x:v>1</x:v>
      </x:c>
      <x:c r="B9" s="16" t="str">
        <x:v>V01</x:v>
      </x:c>
      <x:c r="C9" s="16" t="str">
        <x:v>Verify</x:v>
      </x:c>
      <x:c r="D9" s="18" t="n">
        <x:v>1</x:v>
      </x:c>
      <x:c r="E9" s="12" t="str">
        <x:v>Resume only the originally selected lessons</x:v>
      </x:c>
      <x:c r="F9" s="12" t="str">
        <x:v>0.5–1 hour</x:v>
      </x:c>
      <x:c r="G9" s="12" t="str">
        <x:v>Smoke-test an Android build containing #79, then close if the selected remaining lessons resume correctly.</x:v>
      </x:c>
      <x:c r="H9" s="12" t="str">
        <x:v>Merged fix; verify release</x:v>
      </x:c>
      <x:c r="I9" s="12" t="str">
        <x:v>Merged fix uses stable assignment IDs and preserves picked sessions; regression tests cover reordering/removal.</x:v>
      </x:c>
      <x:c r="J9" s="12" t="str">
        <x:v>G70</x:v>
      </x:c>
      <x:c r="K9" s="12" t="str"/>
    </x:row>
    <x:row r="10" ht="54" customHeight="1">
      <x:c r="A10" s="17" t="n">
        <x:v>2</x:v>
      </x:c>
      <x:c r="B10" s="17" t="str">
        <x:v>V02</x:v>
      </x:c>
      <x:c r="C10" s="17" t="str">
        <x:v>Verify</x:v>
      </x:c>
      <x:c r="D10" s="19" t="n">
        <x:v>1</x:v>
      </x:c>
      <x:c r="E10" s="15" t="str">
        <x:v>External keyboard answers lose final characters</x:v>
      </x:c>
      <x:c r="F10" s="15" t="str">
        <x:v>1–2 hours</x:v>
      </x:c>
      <x:c r="G10" s="15" t="str">
        <x:v>Verify rapid typing and Enter on an external keyboard in a build containing PR #64; reopen implementation only if characters still disappear.</x:v>
      </x:c>
      <x:c r="H10" s="15" t="str">
        <x:v>Likely fixed in #64; hardware check needed</x:v>
      </x:c>
      <x:c r="I10" s="15" t="str">
        <x:v>False wrong answers are serious, but current code specifically captures native submission text and resets before new input.</x:v>
      </x:c>
      <x:c r="J10" s="15" t="str">
        <x:v>C35</x:v>
      </x:c>
      <x:c r="K10" s="15" t="str"/>
    </x:row>
    <x:row r="11" ht="54" customHeight="1">
      <x:c r="A11" s="16" t="n">
        <x:v>3</x:v>
      </x:c>
      <x:c r="B11" s="16" t="str">
        <x:v>V03</x:v>
      </x:c>
      <x:c r="C11" s="16" t="str">
        <x:v>Verify</x:v>
      </x:c>
      <x:c r="D11" s="18" t="n">
        <x:v>2</x:v>
      </x:c>
      <x:c r="E11" s="12" t="str">
        <x:v>Android lesson-note keyboard repeatedly opens/closes</x:v>
      </x:c>
      <x:c r="F11" s="12" t="str">
        <x:v>1–2 hours; 1–2 days if persistent</x:v>
      </x:c>
      <x:c r="G11" s="12" t="str">
        <x:v>Verify Android lesson note keyboard remains stable on Pixel with current plain/rich editor; keep separate from note durability.</x:v>
      </x:c>
      <x:c r="H11" s="12" t="str">
        <x:v>Verify recent editor fixes on Pixel</x:v>
      </x:c>
      <x:c r="I11" s="12" t="str">
        <x:v>Keyboard opening/closing rapidly prevents note entry. Recent code targets this area but no report confirmation.</x:v>
      </x:c>
      <x:c r="J11" s="12" t="str">
        <x:v>C41</x:v>
      </x:c>
      <x:c r="K11" s="12" t="str"/>
    </x:row>
    <x:row r="12" ht="96" customHeight="1">
      <x:c r="A12" s="17" t="n">
        <x:v>4</x:v>
      </x:c>
      <x:c r="B12" s="17" t="str">
        <x:v>V04</x:v>
      </x:c>
      <x:c r="C12" s="17" t="str">
        <x:v>Verify</x:v>
      </x:c>
      <x:c r="D12" s="19" t="n">
        <x:v>3</x:v>
      </x:c>
      <x:c r="E12" s="15" t="str">
        <x:v>Repeated handwriting sessions get stuck loading</x:v>
      </x:c>
      <x:c r="F12" s="15" t="str">
        <x:v>½–1 day repeated-session verification; 1–3 days fix if reproduced</x:v>
      </x:c>
      <x:c r="G12" s="15" t="str">
        <x:v>Verify exact repeat-session freehand repro using C56 comments; close confirmed redraw/layout requests.</x:v>
      </x:c>
      <x:c r="H12" s="15" t="str">
        <x:v>Partial fixes; current loader protections need verification</x:v>
      </x:c>
      <x:c r="I12" s="15" t="str">
        <x:v>User confirmed redraw and compact results implemented but loading bug persisted then. Current question key includes session/index/subject/character and quiz has rejected/pending load handling, making recheck preferable to assuming original failure still present.</x:v>
      </x:c>
      <x:c r="J12" s="15" t="str">
        <x:v>C56, C65</x:v>
      </x:c>
      <x:c r="K12" s="15" t="str">
        <x:v>B49</x:v>
      </x:c>
    </x:row>
    <x:row r="13" ht="82" customHeight="1">
      <x:c r="A13" s="16" t="n">
        <x:v>5</x:v>
      </x:c>
      <x:c r="B13" s="16" t="str">
        <x:v>V05</x:v>
      </x:c>
      <x:c r="C13" s="16" t="str">
        <x:v>Verify</x:v>
      </x:c>
      <x:c r="D13" s="18" t="n">
        <x:v>2</x:v>
      </x:c>
      <x:c r="E13" s="12" t="str">
        <x:v>Spotify personal-client connection setup</x:v>
      </x:c>
      <x:c r="F13" s="12" t="str">
        <x:v>0.5–1 day</x:v>
      </x:c>
      <x:c r="G13" s="12" t="str">
        <x:v>Verify personal Spotify client-ID onboarding and authentication, then resolve old shared-client report.</x:v>
      </x:c>
      <x:c r="H13" s="12" t="str">
        <x:v>Workaround implemented; verify on device</x:v>
      </x:c>
      <x:c r="I13" s="12" t="str">
        <x:v>Thread identified shared application authorization restrictions, and users accepted personal-client setup. Current service persists a personal ID and binds tokens to it, with auth tests. No fresh external policy verification performed.</x:v>
      </x:c>
      <x:c r="J13" s="12" t="str">
        <x:v>C48</x:v>
      </x:c>
      <x:c r="K13" s="12" t="str"/>
    </x:row>
    <x:row r="14" ht="68" customHeight="1">
      <x:c r="A14" s="17" t="n">
        <x:v>6</x:v>
      </x:c>
      <x:c r="B14" s="17" t="str">
        <x:v>V06</x:v>
      </x:c>
      <x:c r="C14" s="17" t="str">
        <x:v>Verify</x:v>
      </x:c>
      <x:c r="D14" s="19" t="n">
        <x:v>2</x:v>
      </x:c>
      <x:c r="E14" s="15" t="str">
        <x:v>iPad Keyboard Arrow Keys</x:v>
      </x:c>
      <x:c r="F14" s="15" t="str">
        <x:v>½–1 day verification; 1–2 days if Mac focus bug persists</x:v>
      </x:c>
      <x:c r="G14" s="15" t="str">
        <x:v>Close confirmed iPad arrow navigation; check Mac iPad-app second lesson batch focus before marking entire report resolved.</x:v>
      </x:c>
      <x:c r="H14" s="15" t="str">
        <x:v>iPad confirmed fixed; Mac followup unconfirmed</x:v>
      </x:c>
      <x:c r="I14" s="15" t="str">
        <x:v>Current focus effect depends on batch index, active tab and screen focus, which addresses reported lifecycle trigger in principle. Need actual Mac multi-batch verification.</x:v>
      </x:c>
      <x:c r="J14" s="15" t="str">
        <x:v>C66</x:v>
      </x:c>
      <x:c r="K14" s="15" t="str"/>
    </x:row>
    <x:row r="15" ht="68" customHeight="1">
      <x:c r="A15" s="16" t="n">
        <x:v>7</x:v>
      </x:c>
      <x:c r="B15" s="16" t="str">
        <x:v>V07</x:v>
      </x:c>
      <x:c r="C15" s="16" t="str">
        <x:v>Verify</x:v>
      </x:c>
      <x:c r="D15" s="18" t="n">
        <x:v>2</x:v>
      </x:c>
      <x:c r="E15" s="12" t="str">
        <x:v>Context cloze replaces the wrong sentence segment</x:v>
      </x:c>
      <x:c r="F15" s="12" t="str">
        <x:v>0.5–1 day verification; 1–2 days if present</x:v>
      </x:c>
      <x:c r="G15" s="12" t="str">
        <x:v>Reproduce 思う with 日本の人口について、どう思いますか？ and verify the prefix survives while the correct verb segment is blanked/revealed. Earlier layout and tilde requests were delivered.</x:v>
      </x:c>
      <x:c r="H15" s="12" t="str">
        <x:v>Malformed historical cloze; verify current build</x:v>
      </x:c>
      <x:c r="I15" s="12" t="str">
        <x:v>The attached reveal screenshot shows 思う、どう思いますか？ while subject details show the full sentence. This identifies a malformed cloze rather than an unexplained details mismatch.</x:v>
      </x:c>
      <x:c r="J15" s="12" t="str">
        <x:v>C60</x:v>
      </x:c>
      <x:c r="K15" s="12" t="str"/>
    </x:row>
    <x:row r="16" ht="82" customHeight="1">
      <x:c r="A16" s="17" t="n">
        <x:v>8</x:v>
      </x:c>
      <x:c r="B16" s="17" t="str">
        <x:v>V08</x:v>
      </x:c>
      <x:c r="C16" s="17" t="str">
        <x:v>Verify</x:v>
      </x:c>
      <x:c r="D16" s="19" t="n">
        <x:v>2</x:v>
      </x:c>
      <x:c r="E16" s="15" t="str">
        <x:v>Voices</x:v>
      </x:c>
      <x:c r="F16" s="15" t="str">
        <x:v>½–1 day verification; 1–3 days if native voice selection remains desired</x:v>
      </x:c>
      <x:c r="G16" s="15" t="str">
        <x:v>Check current Azure voices/fallback behavior; split native Siri selection into C57 if still wanted.</x:v>
      </x:c>
      <x:c r="H16" s="15" t="str">
        <x:v>Historical provider fallback changed; quality not verified</x:v>
      </x:c>
      <x:c r="I16" s="15" t="str">
        <x:v>May report describes old all-native fallback. Current Azure service supports named cloud voices, rotating keys and native fallback; latest comment only suggests Bunpro voice quality, not proof current service still broken.</x:v>
      </x:c>
      <x:c r="J16" s="15" t="str">
        <x:v>C51</x:v>
      </x:c>
      <x:c r="K16" s="15" t="str"/>
    </x:row>
    <x:row r="17" ht="68" customHeight="1">
      <x:c r="A17" s="16" t="n">
        <x:v>9</x:v>
      </x:c>
      <x:c r="B17" s="16" t="str">
        <x:v>V09</x:v>
      </x:c>
      <x:c r="C17" s="16" t="str">
        <x:v>Verify</x:v>
      </x:c>
      <x:c r="D17" s="18" t="n">
        <x:v>1</x:v>
      </x:c>
      <x:c r="E17" s="12" t="str">
        <x:v>Critical items big widget</x:v>
      </x:c>
      <x:c r="F17" s="12" t="str">
        <x:v>0.25–0.5 day</x:v>
      </x:c>
      <x:c r="G17" s="12" t="str">
        <x:v>Check the installed wide widget with Critical mode; close if the existing medium layout meets the request, otherwise clarify desired multi-item layout.</x:v>
      </x:c>
      <x:c r="H17" s="12" t="str">
        <x:v>Likely implemented; exact wide-widget expectation uncertain</x:v>
      </x:c>
      <x:c r="I17" s="12" t="str">
        <x:v>Code already selects Critical labels in medium widgets and includes count plus top critical item. Request does not specify whether it expects several characters at once.</x:v>
      </x:c>
      <x:c r="J17" s="12" t="str">
        <x:v>C06</x:v>
      </x:c>
      <x:c r="K17" s="12" t="str"/>
    </x:row>
    <x:row r="18" ht="68" customHeight="1">
      <x:c r="A18" s="17" t="n">
        <x:v>10</x:v>
      </x:c>
      <x:c r="B18" s="17" t="str">
        <x:v>V10</x:v>
      </x:c>
      <x:c r="C18" s="17" t="str">
        <x:v>Verify</x:v>
      </x:c>
      <x:c r="D18" s="19" t="n">
        <x:v>1</x:v>
      </x:c>
      <x:c r="E18" s="15" t="str">
        <x:v>Transfering subjects from one list to another</x:v>
      </x:c>
      <x:c r="F18" s="15" t="str">
        <x:v>0.25–0.5 day</x:v>
      </x:c>
      <x:c r="G18" s="15" t="str">
        <x:v>Verify current copy/move transfer and list filtering satisfy baseline, then close; retain C12 subset/bulk UI separately.</x:v>
      </x:c>
      <x:c r="H18" s="15" t="str">
        <x:v>Baseline implemented; later same reporter acknowledges delivery in C12</x:v>
      </x:c>
      <x:c r="I18" s="15" t="str">
        <x:v>Transfer modal supports copy and move; C12 explicitly thanks the already-incorporated feature. C12 is an extension, not a duplicate requiring the original feature twice.</x:v>
      </x:c>
      <x:c r="J18" s="15" t="str">
        <x:v>C20</x:v>
      </x:c>
      <x:c r="K18" s="15" t="str"/>
    </x:row>
    <x:row r="19" ht="68" customHeight="1">
      <x:c r="A19" s="16" t="n">
        <x:v>11</x:v>
      </x:c>
      <x:c r="B19" s="16" t="str">
        <x:v>V11</x:v>
      </x:c>
      <x:c r="C19" s="16" t="str">
        <x:v>Verify</x:v>
      </x:c>
      <x:c r="D19" s="18" t="n">
        <x:v>1</x:v>
      </x:c>
      <x:c r="E19" s="12" t="str">
        <x:v>Subject lists quick Review button</x:v>
      </x:c>
      <x:c r="F19" s="12" t="str">
        <x:v>0.5–1 hour</x:v>
      </x:c>
      <x:c r="G19" s="12" t="str">
        <x:v>Close implemented quick-review request; verify remembered filter behavior covers follow-up before closing that follow-up.</x:v>
      </x:c>
      <x:c r="H19" s="12" t="str">
        <x:v>Quick review delivered; verify remembered filters</x:v>
      </x:c>
      <x:c r="I19" s="12" t="str">
        <x:v>List shortcut exists and custom-review configuration persists. Per-list memory versus global memory was not specified, so do not invent a per-list feature.</x:v>
      </x:c>
      <x:c r="J19" s="12" t="str">
        <x:v>C26</x:v>
      </x:c>
      <x:c r="K19" s="12" t="str"/>
    </x:row>
    <x:row r="20" ht="54" customHeight="1">
      <x:c r="A20" s="17" t="n">
        <x:v>12</x:v>
      </x:c>
      <x:c r="B20" s="17" t="str">
        <x:v>V12</x:v>
      </x:c>
      <x:c r="C20" s="17" t="str">
        <x:v>Verify</x:v>
      </x:c>
      <x:c r="D20" s="19" t="n">
        <x:v>1</x:v>
      </x:c>
      <x:c r="E20" s="15" t="str">
        <x:v>Ascending order and lowest level first working together</x:v>
      </x:c>
      <x:c r="F20" s="15" t="str">
        <x:v>¼–½ day verification</x:v>
      </x:c>
      <x:c r="G20" s="15" t="str">
        <x:v>Verify lowest-level-first + interleave configuration, then close if matching requested ordering.</x:v>
      </x:c>
      <x:c r="H20" s="15" t="str">
        <x:v>Implemented; no requester confirmation</x:v>
      </x:c>
      <x:c r="I20" s="15" t="str">
        <x:v>Developer says setting added. Current lesson ordering explicitly preserves level groups during interleaving.</x:v>
      </x:c>
      <x:c r="J20" s="15" t="str">
        <x:v>C47</x:v>
      </x:c>
      <x:c r="K20" s="15" t="str"/>
    </x:row>
    <x:row r="21" ht="68" customHeight="1">
      <x:c r="A21" s="16" t="n">
        <x:v>13</x:v>
      </x:c>
      <x:c r="B21" s="16" t="str">
        <x:v>V13</x:v>
      </x:c>
      <x:c r="C21" s="16" t="str">
        <x:v>Verify</x:v>
      </x:c>
      <x:c r="D21" s="18" t="n">
        <x:v>1</x:v>
      </x:c>
      <x:c r="E21" s="12" t="str">
        <x:v>Keeping Item Type Order sorting while on Most Overdue First review</x:v>
      </x:c>
      <x:c r="F21" s="12" t="str">
        <x:v>¼–½ day verification</x:v>
      </x:c>
      <x:c r="G21" s="12" t="str">
        <x:v>Verify type ordering with Most Overdue First, then close if satisfied.</x:v>
      </x:c>
      <x:c r="H21" s="12" t="str">
        <x:v>Implemented in current comparator</x:v>
      </x:c>
      <x:c r="I21" s="12" t="str">
        <x:v>Current comparator applies enabled item type order before review-order comparator (critical-item priority can still override by design). This matches radicals first then overdue within type.</x:v>
      </x:c>
      <x:c r="J21" s="12" t="str">
        <x:v>C54</x:v>
      </x:c>
      <x:c r="K21" s="12" t="str"/>
    </x:row>
    <x:row r="22" ht="82" customHeight="1">
      <x:c r="A22" s="17" t="n">
        <x:v>14</x:v>
      </x:c>
      <x:c r="B22" s="17" t="str">
        <x:v>V14</x:v>
      </x:c>
      <x:c r="C22" s="17" t="str">
        <x:v>Verify</x:v>
      </x:c>
      <x:c r="D22" s="19" t="n">
        <x:v>2</x:v>
      </x:c>
      <x:c r="E22" s="15" t="str">
        <x:v>A couple of requests </x:v>
      </x:c>
      <x:c r="F22" s="15" t="str">
        <x:v>½–1 day verification</x:v>
      </x:c>
      <x:c r="G22" s="15" t="str">
        <x:v>Verify crossword/random-test history avoidance and keyboard preferences; close fulfilled slices, retaining any current reproduction.</x:v>
      </x:c>
      <x:c r="H22" s="15" t="str">
        <x:v>Implemented in code; keyboard confirmed</x:v>
      </x:c>
      <x:c r="I22" s="15" t="str">
        <x:v>Crossword penalty and random-test recent history both now exist. User confirmed crossword keyboard change in August; initial iPad keyboard report overlaps C44 but this thread bundles distinct repeat avoidance.</x:v>
      </x:c>
      <x:c r="J22" s="15" t="str">
        <x:v>C50</x:v>
      </x:c>
      <x:c r="K22" s="15" t="str"/>
    </x:row>
    <x:row r="23" ht="54" customHeight="1">
      <x:c r="A23" s="16" t="n">
        <x:v>15</x:v>
      </x:c>
      <x:c r="B23" s="16" t="str">
        <x:v>V15</x:v>
      </x:c>
      <x:c r="C23" s="16" t="str">
        <x:v>Clarify</x:v>
      </x:c>
      <x:c r="D23" s="18"/>
      <x:c r="E23" s="12" t="str">
        <x:v>Japanese translation</x:v>
      </x:c>
      <x:c r="F23" s="12" t="str">
        <x:v>15–30 min triage; implementation unestimated</x:v>
      </x:c>
      <x:c r="G23" s="12" t="str">
        <x:v>Obtain one concrete screen/example and desired Japanese/furigana/audio output before scheduling.</x:v>
      </x:c>
      <x:c r="H23" s="12" t="str">
        <x:v>Needs scope clarification; developer question unanswered</x:v>
      </x:c>
      <x:c r="I23" s="12" t="str">
        <x:v>The request does not identify what should be translated or where audio/furigana belongs. Do not assume it duplicates Japanese-to-Japanese #80.</x:v>
      </x:c>
      <x:c r="J23" s="12" t="str">
        <x:v>C11</x:v>
      </x:c>
      <x:c r="K23" s="12" t="str"/>
    </x:row>
    <x:row r="24" ht="47" customHeight="1">
      <x:c r="A24" s="17" t="n">
        <x:v>16</x:v>
      </x:c>
      <x:c r="B24" s="17" t="str">
        <x:v>V16</x:v>
      </x:c>
      <x:c r="C24" s="17" t="str">
        <x:v>Close</x:v>
      </x:c>
      <x:c r="D24" s="19"/>
      <x:c r="E24" s="15" t="str">
        <x:v>Lesson search button</x:v>
      </x:c>
      <x:c r="F24" s="15" t="str">
        <x:v>No implementation; close the resolved report</x:v>
      </x:c>
      <x:c r="G24" s="15" t="str">
        <x:v>Close as delivered, retaining its source history.</x:v>
      </x:c>
      <x:c r="H24" s="15" t="str">
        <x:v>Reporter-confirmed delivered</x:v>
      </x:c>
      <x:c r="I24" s="15" t="str">
        <x:v>The lesson search button was merged and the reporter says Thank you, that is great.</x:v>
      </x:c>
      <x:c r="J24" s="15" t="str">
        <x:v>C07</x:v>
      </x:c>
      <x:c r="K24" s="15" t="str"/>
    </x:row>
    <x:row r="25" ht="47" customHeight="1">
      <x:c r="A25" s="16" t="n">
        <x:v>17</x:v>
      </x:c>
      <x:c r="B25" s="16" t="str">
        <x:v>V17</x:v>
      </x:c>
      <x:c r="C25" s="16" t="str">
        <x:v>Archive</x:v>
      </x:c>
      <x:c r="D25" s="18"/>
      <x:c r="E25" s="12" t="str">
        <x:v>Kakehashi - now on web :)</x:v>
      </x:c>
      <x:c r="F25" s="12" t="str">
        <x:v>No engineering work</x:v>
      </x:c>
      <x:c r="G25" s="12" t="str">
        <x:v>Remove from actionable backlog; retain as community announcement.</x:v>
      </x:c>
      <x:c r="H25" s="12" t="str">
        <x:v>Announcement, not a bug or feature request</x:v>
      </x:c>
      <x:c r="I25" s="12" t="str">
        <x:v>Developer announces existing web beta; comments are congratulations only.</x:v>
      </x:c>
      <x:c r="J25" s="12" t="str">
        <x:v>C10</x:v>
      </x:c>
      <x:c r="K25" s="12" t="str"/>
    </x:row>
    <x:row r="26" ht="47" customHeight="1">
      <x:c r="A26" s="17" t="n">
        <x:v>18</x:v>
      </x:c>
      <x:c r="B26" s="17" t="str">
        <x:v>V18</x:v>
      </x:c>
      <x:c r="C26" s="17" t="str">
        <x:v>Close</x:v>
      </x:c>
      <x:c r="D26" s="19"/>
      <x:c r="E26" s="15" t="str">
        <x:v>Level limitation in Vocab reading</x:v>
      </x:c>
      <x:c r="F26" s="15" t="str">
        <x:v>No implementation; close resolved report</x:v>
      </x:c>
      <x:c r="G26" s="15" t="str">
        <x:v>Close as fixed; keep a regression example for above-level subjects explicitly selected in a list.</x:v>
      </x:c>
      <x:c r="H26" s="15" t="str">
        <x:v>Developer and reporter confirm delivered</x:v>
      </x:c>
      <x:c r="I26" s="15" t="str">
        <x:v>Developer removed the level limitation and reporter confirmed noticing the fix.</x:v>
      </x:c>
      <x:c r="J26" s="15" t="str">
        <x:v>C13</x:v>
      </x:c>
      <x:c r="K26" s="15" t="str"/>
    </x:row>
    <x:row r="27" ht="82" customHeight="1">
      <x:c r="A27" s="16" t="n">
        <x:v>19</x:v>
      </x:c>
      <x:c r="B27" s="16" t="str">
        <x:v>V19</x:v>
      </x:c>
      <x:c r="C27" s="16" t="str">
        <x:v>Close</x:v>
      </x:c>
      <x:c r="D27" s="18"/>
      <x:c r="E27" s="12" t="str">
        <x:v>Bookmark indicator and lesson frequency filter</x:v>
      </x:c>
      <x:c r="F27" s="12" t="str">
        <x:v>No work for completed baseline; route kana-frequency follow-up to existing frequency request</x:v>
      </x:c>
      <x:c r="G27" s="12" t="str">
        <x:v>Close delivered baseline. The later kana-versus-kanji frequency request is retained with C28.</x:v>
      </x:c>
      <x:c r="H27" s="12" t="str">
        <x:v>Reporter-confirmed delivered; separate frequency follow-up</x:v>
      </x:c>
      <x:c r="I27" s="12" t="str">
        <x:v>Developer says Done and reporter confirms immediately noticing the filled bookmark indicator. Last comment explicitly references another ticket about kana frequency; do not reopen baseline as a broad feature bundle.</x:v>
      </x:c>
      <x:c r="J27" s="12" t="str">
        <x:v>C22</x:v>
      </x:c>
      <x:c r="K27" s="12" t="str">
        <x:v>B43</x:v>
      </x:c>
    </x:row>
    <x:row r="28" ht="47" customHeight="1">
      <x:c r="A28" s="17" t="n">
        <x:v>20</x:v>
      </x:c>
      <x:c r="B28" s="17" t="str">
        <x:v>V20</x:v>
      </x:c>
      <x:c r="C28" s="17" t="str">
        <x:v>Close</x:v>
      </x:c>
      <x:c r="D28" s="19" t="n">
        <x:v>1</x:v>
      </x:c>
      <x:c r="E28" s="15" t="str">
        <x:v>How to adjust input font size?</x:v>
      </x:c>
      <x:c r="F28" s="15" t="str">
        <x:v>15–30 min</x:v>
      </x:c>
      <x:c r="G28" s="15" t="str">
        <x:v>Close as implemented; point to Review input text size setting.</x:v>
      </x:c>
      <x:c r="H28" s="15" t="str">
        <x:v>Implemented; developer confirmation and current setting.</x:v>
      </x:c>
      <x:c r="I28" s="15" t="str">
        <x:v>The requested independent review-input font scaling already exists.</x:v>
      </x:c>
      <x:c r="J28" s="15" t="str">
        <x:v>C23</x:v>
      </x:c>
      <x:c r="K28" s="15" t="str"/>
    </x:row>
    <x:row r="29" ht="54" customHeight="1">
      <x:c r="A29" s="16" t="n">
        <x:v>21</x:v>
      </x:c>
      <x:c r="B29" s="16" t="str">
        <x:v>V21</x:v>
      </x:c>
      <x:c r="C29" s="16" t="str">
        <x:v>Close</x:v>
      </x:c>
      <x:c r="D29" s="18" t="n">
        <x:v>1</x:v>
      </x:c>
      <x:c r="E29" s="12" t="str">
        <x:v>Crossword suggestion</x:v>
      </x:c>
      <x:c r="F29" s="12" t="str">
        <x:v>15–30 min</x:v>
      </x:c>
      <x:c r="G29" s="12" t="str">
        <x:v>Close implemented crossword result display/audio request after routine release check.</x:v>
      </x:c>
      <x:c r="H29" s="12" t="str">
        <x:v>Implemented and reporter confirmed; subsequent kana-audio defect also addressed.</x:v>
      </x:c>
      <x:c r="I29" s="12" t="str">
        <x:v>Author calls it perfect/working; developer later confirms fix for kana-only audio.</x:v>
      </x:c>
      <x:c r="J29" s="12" t="str">
        <x:v>C36</x:v>
      </x:c>
      <x:c r="K29" s="12" t="str"/>
    </x:row>
    <x:row r="30" ht="47" customHeight="1">
      <x:c r="A30" s="17" t="n">
        <x:v>22</x:v>
      </x:c>
      <x:c r="B30" s="17" t="str">
        <x:v>V22</x:v>
      </x:c>
      <x:c r="C30" s="17" t="str">
        <x:v>Close</x:v>
      </x:c>
      <x:c r="D30" s="19" t="n">
        <x:v>1</x:v>
      </x:c>
      <x:c r="E30" s="15" t="str">
        <x:v>Apprentice/Guru item count lesson block</x:v>
      </x:c>
      <x:c r="F30" s="15" t="str">
        <x:v>15–30 min</x:v>
      </x:c>
      <x:c r="G30" s="15" t="str">
        <x:v>Close as implemented.</x:v>
      </x:c>
      <x:c r="H30" s="15" t="str">
        <x:v>Author confirms feature added.</x:v>
      </x:c>
      <x:c r="I30" s="15" t="str">
        <x:v>Requested apprentice/guru lesson thresholds exist and are acknowledged.</x:v>
      </x:c>
      <x:c r="J30" s="15" t="str">
        <x:v>C42</x:v>
      </x:c>
      <x:c r="K30" s="15" t="str"/>
    </x:row>
    <x:row r="31" ht="68" customHeight="1">
      <x:c r="A31" s="16" t="n">
        <x:v>23</x:v>
      </x:c>
      <x:c r="B31" s="16" t="str">
        <x:v>V23</x:v>
      </x:c>
      <x:c r="C31" s="16" t="str">
        <x:v>Archive</x:v>
      </x:c>
      <x:c r="D31" s="18"/>
      <x:c r="E31" s="12" t="str">
        <x:v>Context sentences audio not working</x:v>
      </x:c>
      <x:c r="F31" s="12" t="str">
        <x:v>No implementation; optional current service smoke check</x:v>
      </x:c>
      <x:c r="G31" s="12" t="str">
        <x:v>Archive historical developer service-status announcement; retain current voice requests as C51/C57.</x:v>
      </x:c>
      <x:c r="H31" s="12" t="str">
        <x:v>Historical announcement superseded by fallback/provider work</x:v>
      </x:c>
      <x:c r="I31" s="12" t="str">
        <x:v>Developer announced replacement fallback and users confirmed availability. Current Azure speech implementation has native fallback; this is not an independently actionable open bug without fresh evidence.</x:v>
      </x:c>
      <x:c r="J31" s="12" t="str">
        <x:v>C63</x:v>
      </x:c>
      <x:c r="K31" s="12" t="str"/>
    </x:row>
    <x:row r="32">
      <x:c r="A32" s="2"/>
      <x:c r="B32" s="2"/>
      <x:c r="C32" s="2"/>
      <x:c r="D32" s="2"/>
      <x:c r="E32" s="2"/>
      <x:c r="F32" s="2"/>
      <x:c r="G32" s="2"/>
      <x:c r="H32" s="2"/>
      <x:c r="I32" s="2"/>
      <x:c r="J32" s="2"/>
      <x:c r="K32" s="2"/>
    </x:row>
  </x:sheetData>
  <x:conditionalFormatting sqref="C9:C31">
    <x:cfRule type="containsText" dxfId="7" priority="1" operator="containsText" text="P1"/>
    <x:cfRule type="containsText" dxfId="8" priority="2" operator="containsText" text="P2"/>
    <x:cfRule type="containsText" dxfId="9" priority="3" operator="containsText" text="P3"/>
    <x:cfRule type="containsText" dxfId="10" priority="4" operator="containsText" text="Verify"/>
    <x:cfRule type="containsText" dxfId="11" priority="5" operator="containsText" text="Close"/>
    <x:cfRule type="containsText" dxfId="12" priority="6" operator="containsText" text="Archive"/>
    <x:cfRule type="containsText" dxfId="13" priority="7" operator="containsText" text="Clarify"/>
  </x:conditionalFormatting>
  <x:pageMargins left="0.7" right="0.7" top="0.75" bottom="0.75" header="0.3" footer="0.3"/>
  <x:tableParts count="1">
    <x:tablePart xmlns:r="http://schemas.openxmlformats.org/officeDocument/2006/relationships" r:id="Ra97e4ce47cb4489e"/>
  </x:tableParts>
</x:worksheet>
</file>

<file path=xl/worksheets/sheet3.xml><?xml version="1.0" encoding="utf-8"?>
<worksheet xmlns="http://schemas.openxmlformats.org/spreadsheetml/2006/main" xmlns:r="http://schemas.openxmlformats.org/officeDocument/2006/relationships">
  <sheetPr>
    <tabColor rgb="FFA5B2C4"/>
  </sheetPr>
  <sheetViews>
    <sheetView showGridLines="0" workbookViewId="0">
      <pane xSplit="2" ySplit="8" topLeftCell="C9" activePane="bottomRight" state="frozen"/>
    </sheetView>
  </sheetViews>
  <sheetFormatPr defaultRowHeight="15"/>
  <cols>
    <col min="1" max="1" width="11" hidden="0" customWidth="1"/>
    <col min="2" max="2" width="14" hidden="0" customWidth="1"/>
    <col min="3" max="3" width="52" hidden="0" customWidth="1"/>
    <col min="4" max="4" width="14" hidden="0" customWidth="1"/>
    <col min="5" max="5" width="12" hidden="0" customWidth="1"/>
    <col min="6" max="6" width="9" hidden="0" customWidth="1"/>
    <col min="7" max="7" width="11" hidden="0" customWidth="1"/>
    <col min="8" max="8" width="22" hidden="0" customWidth="1"/>
    <col min="9" max="9" width="65" hidden="0" customWidth="1"/>
    <col min="10" max="10" width="70" hidden="0" customWidth="1"/>
  </cols>
  <sheetData>
    <row r="1">
      <c r="A1" s="2"/>
      <c r="B1" s="2"/>
      <c r="C1" s="2"/>
      <c r="D1" s="2"/>
      <c r="E1" s="2"/>
      <c r="F1" s="2"/>
      <c r="G1" s="2"/>
      <c r="H1" s="2"/>
      <c r="I1" s="2"/>
      <c r="J1" s="2"/>
    </row>
    <row r="2" ht="32" customHeight="1">
      <c r="A2" s="4" t="str">
        <v>Original reports and source links</v>
      </c>
      <c r="B2" s="3"/>
      <c r="C2" s="3"/>
      <c r="D2" s="3"/>
      <c r="E2" s="3"/>
      <c r="F2" s="3"/>
      <c r="G2" s="3"/>
      <c r="H2" s="3"/>
      <c r="I2" s="3"/>
      <c r="J2" s="3"/>
    </row>
    <row r="3" ht="23" customHeight="1">
      <c r="A3" s="5" t="str">
        <v>All 80 reports preserved. Work IDs map reports to actions. Evidence is in the notes attached to original titles. One report may contain several outcomes.</v>
      </c>
      <c r="B3" s="2"/>
      <c r="C3" s="2"/>
      <c r="D3" s="2"/>
      <c r="E3" s="2"/>
      <c r="F3" s="2"/>
      <c r="G3" s="2"/>
      <c r="H3" s="2"/>
      <c r="I3" s="2"/>
      <c r="J3" s="2"/>
    </row>
    <row r="4">
      <c r="A4" s="2"/>
      <c r="B4" s="2"/>
      <c r="C4" s="2" t="str">
        <v>Community reports</v>
      </c>
      <c r="D4" s="29" t="n">
        <f>COUNTIF(B9:B88,"Community")</f>
        <v>67</v>
      </c>
      <c r="E4" s="2" t="str">
        <v>All reports</v>
      </c>
      <c r="F4" s="29" t="n">
        <f>COUNTA(A9:A88)</f>
        <v>80</v>
      </c>
      <c r="G4" s="2"/>
      <c r="H4" s="2"/>
      <c r="I4" s="2"/>
      <c r="J4" s="2"/>
    </row>
    <row r="5">
      <c r="A5" s="2"/>
      <c r="B5" s="2"/>
      <c r="C5" s="2" t="str">
        <v>GitHub issues</v>
      </c>
      <c r="D5" s="29" t="n">
        <f>COUNTIF(B9:B88,"GitHub")</f>
        <v>13</v>
      </c>
      <c r="E5" s="2" t="str">
        <v>Comments read</v>
      </c>
      <c r="F5" s="29" t="n">
        <f>SUM(G9:G88)</f>
        <v>249</v>
      </c>
      <c r="G5" s="2"/>
      <c r="H5" s="2"/>
      <c r="I5" s="2"/>
      <c r="J5" s="2"/>
    </row>
    <row r="6">
      <c r="A6" s="2"/>
      <c r="B6" s="2"/>
      <c r="C6" s="2"/>
      <c r="D6" s="2"/>
      <c r="E6" s="2"/>
      <c r="F6" s="2"/>
      <c r="G6" s="2"/>
      <c r="H6" s="2"/>
      <c r="I6" s="2"/>
      <c r="J6" s="2"/>
    </row>
    <row r="7">
      <c r="A7" s="2"/>
      <c r="B7" s="2"/>
      <c r="C7" s="2"/>
      <c r="D7" s="2"/>
      <c r="E7" s="2"/>
      <c r="F7" s="2"/>
      <c r="G7" s="2"/>
      <c r="H7" s="2"/>
      <c r="I7" s="2"/>
      <c r="J7" s="2"/>
    </row>
    <row r="8" ht="29" customHeight="1">
      <c r="A8" s="9" t="str">
        <v>Report ref</v>
      </c>
      <c r="B8" s="9" t="str">
        <v>Origin</v>
      </c>
      <c r="C8" s="9" t="str">
        <v>Original title</v>
      </c>
      <c r="D8" s="9" t="str">
        <v>Created</v>
      </c>
      <c r="E8" s="9" t="str">
        <v>Source status</v>
      </c>
      <c r="F8" s="9" t="str">
        <v>Likes</v>
      </c>
      <c r="G8" s="9" t="str">
        <v>Comments</v>
      </c>
      <c r="H8" s="9" t="str">
        <v>Work IDs</v>
      </c>
      <c r="I8" s="9" t="str">
        <v>Scope / mapping note</v>
      </c>
      <c r="J8" s="9" t="str">
        <v>Original report link</v>
      </c>
    </row>
    <row r="9" ht="47" customHeight="1">
      <c r="A9" s="12" t="str">
        <v>C01</v>
      </c>
      <c r="B9" s="12" t="str">
        <v>Community</v>
      </c>
      <c r="C9" s="12" t="str">
        <v>Poor handling offline</v>
      </c>
      <c r="D9" s="23" t="n">
        <v>46273.75864424768</v>
      </c>
      <c r="E9" s="12" t="str">
        <v>open</v>
      </c>
      <c r="F9" s="25" t="n">
        <v>1</v>
      </c>
      <c r="G9" s="25" t="n">
        <v>1</v>
      </c>
      <c r="H9" s="12" t="str">
        <v>B03</v>
      </c>
      <c r="I9" s="12" t="str"/>
      <c r="J9" s="27" t="str">
        <v>https://kakehashiapp.com/community/b7c2f4f2-cd1a-4cfd-b16b-c6a3100b26d0</v>
      </c>
    </row>
    <row r="10" ht="47" customHeight="1">
      <c r="A10" s="15" t="str">
        <v>C02</v>
      </c>
      <c r="B10" s="15" t="str">
        <v>Community</v>
      </c>
      <c r="C10" s="15" t="str">
        <v>Combine iOS Notifications</v>
      </c>
      <c r="D10" s="24" t="n">
        <v>46270.627457476854</v>
      </c>
      <c r="E10" s="15" t="str">
        <v>open</v>
      </c>
      <c r="F10" s="26" t="n">
        <v>2</v>
      </c>
      <c r="G10" s="26" t="n">
        <v>1</v>
      </c>
      <c r="H10" s="15" t="str">
        <v>B29</v>
      </c>
      <c r="I10" s="15" t="str"/>
      <c r="J10" s="28" t="str">
        <v>https://kakehashiapp.com/community/75239481-139c-46fb-b9e8-7df354be04e9</v>
      </c>
    </row>
    <row r="11" ht="47" customHeight="1">
      <c r="A11" s="12" t="str">
        <v>C03</v>
      </c>
      <c r="B11" s="12" t="str">
        <v>Community</v>
      </c>
      <c r="C11" s="12" t="str">
        <v>Multiple Choice</v>
      </c>
      <c r="D11" s="23" t="n">
        <v>46268.463813518516</v>
      </c>
      <c r="E11" s="12" t="str">
        <v>open</v>
      </c>
      <c r="F11" s="25" t="n">
        <v>1</v>
      </c>
      <c r="G11" s="25" t="n">
        <v>10</v>
      </c>
      <c r="H11" s="12" t="str">
        <v>B10</v>
      </c>
      <c r="I11" s="12" t="str"/>
      <c r="J11" s="27" t="str">
        <v>https://kakehashiapp.com/community/d579dd8d-bf98-4993-96f0-cfd7b9e52693</v>
      </c>
    </row>
    <row r="12" ht="47" customHeight="1">
      <c r="A12" s="15" t="str">
        <v>C04</v>
      </c>
      <c r="B12" s="15" t="str">
        <v>Community</v>
      </c>
      <c r="C12" s="15" t="str">
        <v>Feature Request: Save sentences to a list</v>
      </c>
      <c r="D12" s="24" t="n">
        <v>46267.97776729167</v>
      </c>
      <c r="E12" s="15" t="str">
        <v>open</v>
      </c>
      <c r="F12" s="26" t="n">
        <v>4</v>
      </c>
      <c r="G12" s="26" t="n">
        <v>3</v>
      </c>
      <c r="H12" s="15" t="str">
        <v>B34</v>
      </c>
      <c r="I12" s="15" t="str"/>
      <c r="J12" s="28" t="str">
        <v>https://kakehashiapp.com/community/dfe23011-d902-4615-a496-a3fec02a8d04</v>
      </c>
    </row>
    <row r="13" ht="47" customHeight="1">
      <c r="A13" s="12" t="str">
        <v>C05</v>
      </c>
      <c r="B13" s="12" t="str">
        <v>Community</v>
      </c>
      <c r="C13" s="12" t="str">
        <v>Audio-only vocab reviews</v>
      </c>
      <c r="D13" s="23" t="n">
        <v>46267.91536540509</v>
      </c>
      <c r="E13" s="12" t="str">
        <v>open</v>
      </c>
      <c r="F13" s="25" t="n">
        <v>3</v>
      </c>
      <c r="G13" s="25" t="n">
        <v>6</v>
      </c>
      <c r="H13" s="12" t="str">
        <v>B36</v>
      </c>
      <c r="I13" s="12" t="str"/>
      <c r="J13" s="27" t="str">
        <v>https://kakehashiapp.com/community/32f5e9e3-dd2e-4e9a-85d5-d66e6aaac00b</v>
      </c>
    </row>
    <row r="14" ht="47" customHeight="1">
      <c r="A14" s="15" t="str">
        <v>C06</v>
      </c>
      <c r="B14" s="15" t="str">
        <v>Community</v>
      </c>
      <c r="C14" s="15" t="str">
        <v>Critical items big widget</v>
      </c>
      <c r="D14" s="24" t="n">
        <v>46266.56546837963</v>
      </c>
      <c r="E14" s="15" t="str">
        <v>open</v>
      </c>
      <c r="F14" s="26" t="n">
        <v>2</v>
      </c>
      <c r="G14" s="26" t="n">
        <v>0</v>
      </c>
      <c r="H14" s="15" t="str">
        <v>V09</v>
      </c>
      <c r="I14" s="15" t="str"/>
      <c r="J14" s="28" t="str">
        <v>https://kakehashiapp.com/community/48d02c3d-330d-4821-a5d6-0a5f40af3cac</v>
      </c>
    </row>
    <row r="15" ht="47" customHeight="1">
      <c r="A15" s="12" t="str">
        <v>C07</v>
      </c>
      <c r="B15" s="12" t="str">
        <v>Community</v>
      </c>
      <c r="C15" s="12" t="str">
        <v>Lesson search button</v>
      </c>
      <c r="D15" s="23" t="n">
        <v>46265.67243462963</v>
      </c>
      <c r="E15" s="12" t="str">
        <v>open</v>
      </c>
      <c r="F15" s="25" t="n">
        <v>1</v>
      </c>
      <c r="G15" s="25" t="n">
        <v>1</v>
      </c>
      <c r="H15" s="12" t="str">
        <v>V16</v>
      </c>
      <c r="I15" s="12" t="str"/>
      <c r="J15" s="27" t="str">
        <v>https://kakehashiapp.com/community/35acc028-d118-49bc-9e7e-bdaa245e53b7</v>
      </c>
    </row>
    <row r="16" ht="47" customHeight="1">
      <c r="A16" s="15" t="str">
        <v>C08</v>
      </c>
      <c r="B16" s="15" t="str">
        <v>Community</v>
      </c>
      <c r="C16" s="15" t="str">
        <v>Independent notes</v>
      </c>
      <c r="D16" s="24" t="n">
        <v>46265.41696796296</v>
      </c>
      <c r="E16" s="15" t="str">
        <v>open</v>
      </c>
      <c r="F16" s="26" t="n">
        <v>0</v>
      </c>
      <c r="G16" s="26" t="n">
        <v>0</v>
      </c>
      <c r="H16" s="15" t="str">
        <v>B35</v>
      </c>
      <c r="I16" s="15" t="str"/>
      <c r="J16" s="28" t="str">
        <v>https://kakehashiapp.com/community/812ac88d-a237-4788-b991-8d73fac79982</v>
      </c>
    </row>
    <row r="17" ht="47" customHeight="1">
      <c r="A17" s="12" t="str">
        <v>C09</v>
      </c>
      <c r="B17" s="12" t="str">
        <v>Community</v>
      </c>
      <c r="C17" s="12" t="str">
        <v>Links in notes field</v>
      </c>
      <c r="D17" s="23" t="n">
        <v>46265.401910555556</v>
      </c>
      <c r="E17" s="12" t="str">
        <v>open</v>
      </c>
      <c r="F17" s="25" t="n">
        <v>1</v>
      </c>
      <c r="G17" s="25" t="n">
        <v>10</v>
      </c>
      <c r="H17" s="12" t="str">
        <v>B11</v>
      </c>
      <c r="I17" s="12" t="str"/>
      <c r="J17" s="27" t="str">
        <v>https://kakehashiapp.com/community/712cdf99-45a1-445c-9acf-7f49f5e2b04b</v>
      </c>
    </row>
    <row r="18" ht="47" customHeight="1">
      <c r="A18" s="15" t="str">
        <v>C10</v>
      </c>
      <c r="B18" s="15" t="str">
        <v>Community</v>
      </c>
      <c r="C18" s="15" t="str">
        <v>Kakehashi - now on web :)</v>
      </c>
      <c r="D18" s="24" t="n">
        <v>46262.78121826389</v>
      </c>
      <c r="E18" s="15" t="str">
        <v>open</v>
      </c>
      <c r="F18" s="26" t="n">
        <v>10</v>
      </c>
      <c r="G18" s="26" t="n">
        <v>2</v>
      </c>
      <c r="H18" s="15" t="str">
        <v>V17</v>
      </c>
      <c r="I18" s="15" t="str"/>
      <c r="J18" s="28" t="str">
        <v>https://kakehashiapp.com/community/9a2e1c97-a057-4282-9862-a97588e2a4d2</v>
      </c>
    </row>
    <row r="19" ht="47" customHeight="1">
      <c r="A19" s="12" t="str">
        <v>C11</v>
      </c>
      <c r="B19" s="12" t="str">
        <v>Community</v>
      </c>
      <c r="C19" s="12" t="str">
        <v>Japanese translation</v>
      </c>
      <c r="D19" s="23" t="n">
        <v>46258.86667050926</v>
      </c>
      <c r="E19" s="12" t="str">
        <v>open</v>
      </c>
      <c r="F19" s="25" t="n">
        <v>1</v>
      </c>
      <c r="G19" s="25" t="n">
        <v>1</v>
      </c>
      <c r="H19" s="12" t="str">
        <v>V15</v>
      </c>
      <c r="I19" s="12" t="str"/>
      <c r="J19" s="27" t="str">
        <v>https://kakehashiapp.com/community/faaa8291-c807-49b8-8054-10ea3b68f6c0</v>
      </c>
    </row>
    <row r="20" ht="47" customHeight="1">
      <c r="A20" s="15" t="str">
        <v>C12</v>
      </c>
      <c r="B20" s="15" t="str">
        <v>Community</v>
      </c>
      <c r="C20" s="15" t="str">
        <v>Transfer lists and subjects</v>
      </c>
      <c r="D20" s="24" t="n">
        <v>46258.36214886574</v>
      </c>
      <c r="E20" s="15" t="str">
        <v>open</v>
      </c>
      <c r="F20" s="26" t="n">
        <v>0</v>
      </c>
      <c r="G20" s="26" t="n">
        <v>0</v>
      </c>
      <c r="H20" s="15" t="str">
        <v>B26</v>
      </c>
      <c r="I20" s="15" t="str"/>
      <c r="J20" s="28" t="str">
        <v>https://kakehashiapp.com/community/62cd19ad-7652-46e5-b3fd-da5ac20e3d2c</v>
      </c>
    </row>
    <row r="21" ht="47" customHeight="1">
      <c r="A21" s="12" t="str">
        <v>C13</v>
      </c>
      <c r="B21" s="12" t="str">
        <v>Community</v>
      </c>
      <c r="C21" s="12" t="str">
        <v>Level limitation in Vocab reading</v>
      </c>
      <c r="D21" s="23" t="n">
        <v>46255.499753854165</v>
      </c>
      <c r="E21" s="12" t="str">
        <v>open</v>
      </c>
      <c r="F21" s="25" t="n">
        <v>1</v>
      </c>
      <c r="G21" s="25" t="n">
        <v>2</v>
      </c>
      <c r="H21" s="12" t="str">
        <v>V18</v>
      </c>
      <c r="I21" s="12" t="str"/>
      <c r="J21" s="27" t="str">
        <v>https://kakehashiapp.com/community/f7ef9774-a871-4846-906a-e4428ac505d0</v>
      </c>
    </row>
    <row r="22" ht="47" customHeight="1">
      <c r="A22" s="15" t="str">
        <v>C14</v>
      </c>
      <c r="B22" s="15" t="str">
        <v>Community</v>
      </c>
      <c r="C22" s="15" t="str">
        <v>Basic rich formatting in notes</v>
      </c>
      <c r="D22" s="24" t="n">
        <v>46255.422830474534</v>
      </c>
      <c r="E22" s="15" t="str">
        <v>open</v>
      </c>
      <c r="F22" s="26" t="n">
        <v>1</v>
      </c>
      <c r="G22" s="26" t="n">
        <v>8</v>
      </c>
      <c r="H22" s="15" t="str">
        <v>B11, B12</v>
      </c>
      <c r="I22" s="15" t="str">
        <v>One report spans several work items; see each remaining action.</v>
      </c>
      <c r="J22" s="28" t="str">
        <v>https://kakehashiapp.com/community/fe972916-2df7-4c98-937a-bb6b43ffcbe5</v>
      </c>
    </row>
    <row r="23" ht="47" customHeight="1">
      <c r="A23" s="12" t="str">
        <v>C15</v>
      </c>
      <c r="B23" s="12" t="str">
        <v>Community</v>
      </c>
      <c r="C23" s="12" t="str">
        <v>Vocabulary Kanji Composition</v>
      </c>
      <c r="D23" s="23" t="n">
        <v>46253.69207592592</v>
      </c>
      <c r="E23" s="12" t="str">
        <v>open</v>
      </c>
      <c r="F23" s="25" t="n">
        <v>1</v>
      </c>
      <c r="G23" s="25" t="n">
        <v>0</v>
      </c>
      <c r="H23" s="12" t="str">
        <v>B41</v>
      </c>
      <c r="I23" s="12" t="str"/>
      <c r="J23" s="27" t="str">
        <v>https://kakehashiapp.com/community/57cf97a3-a8b2-4d7c-8caa-0cff4024581e</v>
      </c>
    </row>
    <row r="24" ht="47" customHeight="1">
      <c r="A24" s="15" t="str">
        <v>C16</v>
      </c>
      <c r="B24" s="15" t="str">
        <v>Community</v>
      </c>
      <c r="C24" s="15" t="str">
        <v>Reading note cut off in unified learning (iPhone Air)</v>
      </c>
      <c r="D24" s="24" t="n">
        <v>46249.42586861111</v>
      </c>
      <c r="E24" s="15" t="str">
        <v>open</v>
      </c>
      <c r="F24" s="26" t="n">
        <v>1</v>
      </c>
      <c r="G24" s="26" t="n">
        <v>4</v>
      </c>
      <c r="H24" s="15" t="str">
        <v>B15</v>
      </c>
      <c r="I24" s="15" t="str"/>
      <c r="J24" s="28" t="str">
        <v>https://kakehashiapp.com/community/b4b957aa-658d-4ce8-9bda-a832dbf3b0b1</v>
      </c>
    </row>
    <row r="25" ht="47" customHeight="1">
      <c r="A25" s="12" t="str">
        <v>C17</v>
      </c>
      <c r="B25" s="12" t="str">
        <v>Community</v>
      </c>
      <c r="C25" s="12" t="str">
        <v>Temporarily mute audio</v>
      </c>
      <c r="D25" s="23" t="n">
        <v>46246.674358993056</v>
      </c>
      <c r="E25" s="12" t="str">
        <v>open</v>
      </c>
      <c r="F25" s="25" t="n">
        <v>1</v>
      </c>
      <c r="G25" s="25" t="n">
        <v>1</v>
      </c>
      <c r="H25" s="12" t="str">
        <v>B37</v>
      </c>
      <c r="I25" s="12" t="str"/>
      <c r="J25" s="27" t="str">
        <v>https://kakehashiapp.com/community/fa2f1b96-b917-4d11-8861-f0404c7279c2</v>
      </c>
    </row>
    <row r="26" ht="47" customHeight="1">
      <c r="A26" s="15" t="str">
        <v>C18</v>
      </c>
      <c r="B26" s="15" t="str">
        <v>Community</v>
      </c>
      <c r="C26" s="15" t="str">
        <v>Music lyrics not working?</v>
      </c>
      <c r="D26" s="24" t="n">
        <v>46246.592793275464</v>
      </c>
      <c r="E26" s="15" t="str">
        <v>open</v>
      </c>
      <c r="F26" s="26" t="n">
        <v>3</v>
      </c>
      <c r="G26" s="26" t="n">
        <v>3</v>
      </c>
      <c r="H26" s="15" t="str">
        <v>B19</v>
      </c>
      <c r="I26" s="15" t="str"/>
      <c r="J26" s="28" t="str">
        <v>https://kakehashiapp.com/community/e06878ea-6f1d-45d8-9fd5-1fd86244a420</v>
      </c>
    </row>
    <row r="27" ht="47" customHeight="1">
      <c r="A27" s="12" t="str">
        <v>C19</v>
      </c>
      <c r="B27" s="12" t="str">
        <v>Community</v>
      </c>
      <c r="C27" s="12" t="str">
        <v>review forecast duplicate</v>
      </c>
      <c r="D27" s="23" t="n">
        <v>46246.080686215275</v>
      </c>
      <c r="E27" s="12" t="str">
        <v>open</v>
      </c>
      <c r="F27" s="25" t="n">
        <v>0</v>
      </c>
      <c r="G27" s="25" t="n">
        <v>0</v>
      </c>
      <c r="H27" s="12" t="str">
        <v>B18</v>
      </c>
      <c r="I27" s="12" t="str"/>
      <c r="J27" s="27" t="str">
        <v>https://kakehashiapp.com/community/634745d3-e07c-43db-8e31-34642b57f43f</v>
      </c>
    </row>
    <row r="28" ht="47" customHeight="1">
      <c r="A28" s="15" t="str">
        <v>C20</v>
      </c>
      <c r="B28" s="15" t="str">
        <v>Community</v>
      </c>
      <c r="C28" s="15" t="str">
        <v>Transfering subjects from one list to another</v>
      </c>
      <c r="D28" s="24" t="n">
        <v>46245.692239814816</v>
      </c>
      <c r="E28" s="15" t="str">
        <v>open</v>
      </c>
      <c r="F28" s="26" t="n">
        <v>0</v>
      </c>
      <c r="G28" s="26" t="n">
        <v>1</v>
      </c>
      <c r="H28" s="15" t="str">
        <v>V10</v>
      </c>
      <c r="I28" s="15" t="str"/>
      <c r="J28" s="28" t="str">
        <v>https://kakehashiapp.com/community/70dce87d-5d52-4766-b644-19565e2091ad</v>
      </c>
    </row>
    <row r="29" ht="47" customHeight="1">
      <c r="A29" s="12" t="str">
        <v>C21</v>
      </c>
      <c r="B29" s="12" t="str">
        <v>Community</v>
      </c>
      <c r="C29" s="12" t="str">
        <v>Review word obstruction</v>
      </c>
      <c r="D29" s="23" t="n">
        <v>46245.39513660879</v>
      </c>
      <c r="E29" s="12" t="str">
        <v>open</v>
      </c>
      <c r="F29" s="25" t="n">
        <v>0</v>
      </c>
      <c r="G29" s="25" t="n">
        <v>2</v>
      </c>
      <c r="H29" s="12" t="str">
        <v>B13</v>
      </c>
      <c r="I29" s="12" t="str"/>
      <c r="J29" s="27" t="str">
        <v>https://kakehashiapp.com/community/026bbef7-741a-471e-9376-0eb8ac70b1e4</v>
      </c>
    </row>
    <row r="30" ht="47" customHeight="1">
      <c r="A30" s="15" t="str">
        <v>C22</v>
      </c>
      <c r="B30" s="15" t="str">
        <v>Community</v>
      </c>
      <c r="C30" s="15" t="str">
        <v>Previously Bookmarked Indicator</v>
      </c>
      <c r="D30" s="24" t="n">
        <v>46242.14532736111</v>
      </c>
      <c r="E30" s="15" t="str">
        <v>open</v>
      </c>
      <c r="F30" s="26" t="n">
        <v>1</v>
      </c>
      <c r="G30" s="26" t="n">
        <v>3</v>
      </c>
      <c r="H30" s="15" t="str">
        <v>B43, V19</v>
      </c>
      <c r="I30" s="15" t="str">
        <v>One report spans several work items; see each remaining action.</v>
      </c>
      <c r="J30" s="28" t="str">
        <v>https://kakehashiapp.com/community/c7a9711c-5687-4039-8e1a-9d1eb0b6b1c8</v>
      </c>
    </row>
    <row r="31" ht="47" customHeight="1">
      <c r="A31" s="12" t="str">
        <v>C23</v>
      </c>
      <c r="B31" s="12" t="str">
        <v>Community</v>
      </c>
      <c r="C31" s="12" t="str">
        <v>How to adjust input font size?</v>
      </c>
      <c r="D31" s="23" t="n">
        <v>46238.92962296296</v>
      </c>
      <c r="E31" s="12" t="str">
        <v>open</v>
      </c>
      <c r="F31" s="25" t="n">
        <v>1</v>
      </c>
      <c r="G31" s="25" t="n">
        <v>1</v>
      </c>
      <c r="H31" s="12" t="str">
        <v>V20</v>
      </c>
      <c r="I31" s="12" t="str"/>
      <c r="J31" s="27" t="str">
        <v>https://kakehashiapp.com/community/bf664984-5ab6-4d3b-acb7-d35c007f57c7</v>
      </c>
    </row>
    <row r="32" ht="47" customHeight="1">
      <c r="A32" s="15" t="str">
        <v>C24</v>
      </c>
      <c r="B32" s="15" t="str">
        <v>Community</v>
      </c>
      <c r="C32" s="15" t="str">
        <v>Review Count Displaying Incorrectly </v>
      </c>
      <c r="D32" s="24" t="n">
        <v>46231.02355168982</v>
      </c>
      <c r="E32" s="15" t="str">
        <v>open</v>
      </c>
      <c r="F32" s="26" t="n">
        <v>1</v>
      </c>
      <c r="G32" s="26" t="n">
        <v>1</v>
      </c>
      <c r="H32" s="15" t="str">
        <v>B09</v>
      </c>
      <c r="I32" s="15" t="str"/>
      <c r="J32" s="28" t="str">
        <v>https://kakehashiapp.com/community/aa7db109-6306-450c-a7c0-0208c8f37ed2</v>
      </c>
    </row>
    <row r="33" ht="47" customHeight="1">
      <c r="A33" s="12" t="str">
        <v>C25</v>
      </c>
      <c r="B33" s="12" t="str">
        <v>Community</v>
      </c>
      <c r="C33" s="12" t="str">
        <v>Additional level stats </v>
      </c>
      <c r="D33" s="23" t="n">
        <v>46229.75799222222</v>
      </c>
      <c r="E33" s="12" t="str">
        <v>open</v>
      </c>
      <c r="F33" s="25" t="n">
        <v>1</v>
      </c>
      <c r="G33" s="25" t="n">
        <v>4</v>
      </c>
      <c r="H33" s="12" t="str">
        <v>B44</v>
      </c>
      <c r="I33" s="12" t="str"/>
      <c r="J33" s="27" t="str">
        <v>https://kakehashiapp.com/community/c7fc2b2a-ec35-42df-b28b-640ca9eaccf3</v>
      </c>
    </row>
    <row r="34" ht="47" customHeight="1">
      <c r="A34" s="15" t="str">
        <v>C26</v>
      </c>
      <c r="B34" s="15" t="str">
        <v>Community</v>
      </c>
      <c r="C34" s="15" t="str">
        <v>Subject lists quick Review button</v>
      </c>
      <c r="D34" s="24" t="n">
        <v>46228.85551505787</v>
      </c>
      <c r="E34" s="15" t="str">
        <v>open</v>
      </c>
      <c r="F34" s="26" t="n">
        <v>1</v>
      </c>
      <c r="G34" s="26" t="n">
        <v>2</v>
      </c>
      <c r="H34" s="15" t="str">
        <v>V11</v>
      </c>
      <c r="I34" s="15" t="str"/>
      <c r="J34" s="28" t="str">
        <v>https://kakehashiapp.com/community/45cadbca-ee19-49fc-85bf-ad1e4e2dcbba</v>
      </c>
    </row>
    <row r="35" ht="47" customHeight="1">
      <c r="A35" s="12" t="str">
        <v>C27</v>
      </c>
      <c r="B35" s="12" t="str">
        <v>Community</v>
      </c>
      <c r="C35" s="12" t="str">
        <v>Feature request for newbies </v>
      </c>
      <c r="D35" s="23" t="n">
        <v>46226.65504885417</v>
      </c>
      <c r="E35" s="12" t="str">
        <v>open</v>
      </c>
      <c r="F35" s="25" t="n">
        <v>1</v>
      </c>
      <c r="G35" s="25" t="n">
        <v>7</v>
      </c>
      <c r="H35" s="12" t="str">
        <v>B26, B42</v>
      </c>
      <c r="I35" s="12" t="str">
        <v>One report spans several work items; see each remaining action.</v>
      </c>
      <c r="J35" s="27" t="str">
        <v>https://kakehashiapp.com/community/c5eb44ba-aa53-43aa-9c51-e4d91c19971e</v>
      </c>
    </row>
    <row r="36" ht="47" customHeight="1">
      <c r="A36" s="15" t="str">
        <v>C28</v>
      </c>
      <c r="B36" s="15" t="str">
        <v>Community</v>
      </c>
      <c r="C36" s="15" t="str">
        <v>Custom Review List (Sorted by JLPT)</v>
      </c>
      <c r="D36" s="24" t="n">
        <v>46219.09909513889</v>
      </c>
      <c r="E36" s="15" t="str">
        <v>open</v>
      </c>
      <c r="F36" s="26" t="n">
        <v>3</v>
      </c>
      <c r="G36" s="26" t="n">
        <v>10</v>
      </c>
      <c r="H36" s="15" t="str">
        <v>B43</v>
      </c>
      <c r="I36" s="15" t="str"/>
      <c r="J36" s="28" t="str">
        <v>https://kakehashiapp.com/community/191d89d6-da16-4c8a-817e-026f2e4e274c</v>
      </c>
    </row>
    <row r="37" ht="47" customHeight="1">
      <c r="A37" s="12" t="str">
        <v>C29</v>
      </c>
      <c r="B37" s="12" t="str">
        <v>Community</v>
      </c>
      <c r="C37" s="12" t="str">
        <v>Undo last answer </v>
      </c>
      <c r="D37" s="23" t="n">
        <v>46218.70072824074</v>
      </c>
      <c r="E37" s="12" t="str">
        <v>open</v>
      </c>
      <c r="F37" s="25" t="n">
        <v>10</v>
      </c>
      <c r="G37" s="25" t="n">
        <v>7</v>
      </c>
      <c r="H37" s="12" t="str">
        <v>B24</v>
      </c>
      <c r="I37" s="12" t="str"/>
      <c r="J37" s="27" t="str">
        <v>https://kakehashiapp.com/community/c27d54e3-c0c6-485f-b651-30baed69fd10</v>
      </c>
    </row>
    <row r="38" ht="47" customHeight="1">
      <c r="A38" s="15" t="str">
        <v>C30</v>
      </c>
      <c r="B38" s="15" t="str">
        <v>Community</v>
      </c>
      <c r="C38" s="15" t="str">
        <v>Offline mode not working </v>
      </c>
      <c r="D38" s="24" t="n">
        <v>46217.942172013885</v>
      </c>
      <c r="E38" s="15" t="str">
        <v>open</v>
      </c>
      <c r="F38" s="26" t="n">
        <v>1</v>
      </c>
      <c r="G38" s="26" t="n">
        <v>2</v>
      </c>
      <c r="H38" s="15" t="str">
        <v>B04</v>
      </c>
      <c r="I38" s="15" t="str"/>
      <c r="J38" s="28" t="str">
        <v>https://kakehashiapp.com/community/b826b522-30ff-4ffb-8c89-18c3c7ec5d78</v>
      </c>
    </row>
    <row r="39" ht="47" customHeight="1">
      <c r="A39" s="12" t="str">
        <v>C31</v>
      </c>
      <c r="B39" s="12" t="str">
        <v>Community</v>
      </c>
      <c r="C39" s="12" t="str">
        <v>Anime Title Formatting</v>
      </c>
      <c r="D39" s="23" t="n">
        <v>46217.7619512963</v>
      </c>
      <c r="E39" s="12" t="str">
        <v>open</v>
      </c>
      <c r="F39" s="25" t="n">
        <v>0</v>
      </c>
      <c r="G39" s="25" t="n">
        <v>0</v>
      </c>
      <c r="H39" s="12" t="str">
        <v>B40</v>
      </c>
      <c r="I39" s="12" t="str"/>
      <c r="J39" s="27" t="str">
        <v>https://kakehashiapp.com/community/e90a7b74-d924-4f1c-909c-5bdb5644ac41</v>
      </c>
    </row>
    <row r="40" ht="47" customHeight="1">
      <c r="A40" s="15" t="str">
        <v>C32</v>
      </c>
      <c r="B40" s="15" t="str">
        <v>Community</v>
      </c>
      <c r="C40" s="15" t="str">
        <v>question</v>
      </c>
      <c r="D40" s="24" t="n">
        <v>46217.338781736114</v>
      </c>
      <c r="E40" s="15" t="str">
        <v>open</v>
      </c>
      <c r="F40" s="26" t="n">
        <v>0</v>
      </c>
      <c r="G40" s="26" t="n">
        <v>2</v>
      </c>
      <c r="H40" s="15" t="str">
        <v>B33</v>
      </c>
      <c r="I40" s="15" t="str"/>
      <c r="J40" s="28" t="str">
        <v>https://kakehashiapp.com/community/f7479d44-1c15-4a3d-977e-516b37edfc45</v>
      </c>
    </row>
    <row r="41" ht="47" customHeight="1">
      <c r="A41" s="12" t="str">
        <v>C33</v>
      </c>
      <c r="B41" s="12" t="str">
        <v>Community</v>
      </c>
      <c r="C41" s="12" t="str">
        <v>Reading note/Meaning note disappearing</v>
      </c>
      <c r="D41" s="23" t="n">
        <v>46213.60168273148</v>
      </c>
      <c r="E41" s="12" t="str">
        <v>open</v>
      </c>
      <c r="F41" s="25" t="n">
        <v>0</v>
      </c>
      <c r="G41" s="25" t="n">
        <v>4</v>
      </c>
      <c r="H41" s="12" t="str">
        <v>B01</v>
      </c>
      <c r="I41" s="12" t="str"/>
      <c r="J41" s="27" t="str">
        <v>https://kakehashiapp.com/community/c57e9511-f409-40e9-9281-6ed698512267</v>
      </c>
    </row>
    <row r="42" ht="47" customHeight="1">
      <c r="A42" s="15" t="str">
        <v>C34</v>
      </c>
      <c r="B42" s="15" t="str">
        <v>Community</v>
      </c>
      <c r="C42" s="15" t="str">
        <v>Interleave lessons and reviews (suggestion)</v>
      </c>
      <c r="D42" s="24" t="n">
        <v>46203.08317060185</v>
      </c>
      <c r="E42" s="15" t="str">
        <v>open</v>
      </c>
      <c r="F42" s="26" t="n">
        <v>0</v>
      </c>
      <c r="G42" s="26" t="n">
        <v>0</v>
      </c>
      <c r="H42" s="15" t="str">
        <v>B47</v>
      </c>
      <c r="I42" s="15" t="str"/>
      <c r="J42" s="28" t="str">
        <v>https://kakehashiapp.com/community/8d5fc0bc-cee1-4942-9352-9a29a40a0218</v>
      </c>
    </row>
    <row r="43" ht="47" customHeight="1">
      <c r="A43" s="12" t="str">
        <v>C35</v>
      </c>
      <c r="B43" s="12" t="str">
        <v>Community</v>
      </c>
      <c r="C43" s="12" t="str">
        <v>Text box not registering keystrokes on reviews</v>
      </c>
      <c r="D43" s="23" t="n">
        <v>46202.400928194445</v>
      </c>
      <c r="E43" s="12" t="str">
        <v>open</v>
      </c>
      <c r="F43" s="25" t="n">
        <v>0</v>
      </c>
      <c r="G43" s="25" t="n">
        <v>0</v>
      </c>
      <c r="H43" s="12" t="str">
        <v>V02</v>
      </c>
      <c r="I43" s="12" t="str"/>
      <c r="J43" s="27" t="str">
        <v>https://kakehashiapp.com/community/8d6a11bc-235a-4a81-b5f3-9271ce55c41f</v>
      </c>
    </row>
    <row r="44" ht="47" customHeight="1">
      <c r="A44" s="15" t="str">
        <v>C36</v>
      </c>
      <c r="B44" s="15" t="str">
        <v>Community</v>
      </c>
      <c r="C44" s="15" t="str">
        <v>Crossword suggestion</v>
      </c>
      <c r="D44" s="24" t="n">
        <v>46202.32877118055</v>
      </c>
      <c r="E44" s="15" t="str">
        <v>open</v>
      </c>
      <c r="F44" s="26" t="n">
        <v>1</v>
      </c>
      <c r="G44" s="26" t="n">
        <v>5</v>
      </c>
      <c r="H44" s="15" t="str">
        <v>V21</v>
      </c>
      <c r="I44" s="15" t="str"/>
      <c r="J44" s="28" t="str">
        <v>https://kakehashiapp.com/community/5c4caeba-8084-4209-9a32-4c11a7b6e733</v>
      </c>
    </row>
    <row r="45" ht="47" customHeight="1">
      <c r="A45" s="12" t="str">
        <v>C37</v>
      </c>
      <c r="B45" s="12" t="str">
        <v>Community</v>
      </c>
      <c r="C45" s="12" t="str">
        <v>Vocab reviews not centered; level &amp; SRS not visible</v>
      </c>
      <c r="D45" s="23" t="n">
        <v>46202.3118615625</v>
      </c>
      <c r="E45" s="12" t="str">
        <v>open</v>
      </c>
      <c r="F45" s="25" t="n">
        <v>0</v>
      </c>
      <c r="G45" s="25" t="n">
        <v>2</v>
      </c>
      <c r="H45" s="12" t="str">
        <v>B14</v>
      </c>
      <c r="I45" s="12" t="str"/>
      <c r="J45" s="27" t="str">
        <v>https://kakehashiapp.com/community/111a08ca-b8de-46d1-b42f-4b47d156b517</v>
      </c>
    </row>
    <row r="46" ht="47" customHeight="1">
      <c r="A46" s="15" t="str">
        <v>C38</v>
      </c>
      <c r="B46" s="15" t="str">
        <v>Community</v>
      </c>
      <c r="C46" s="15" t="str">
        <v>[Android] Quiz Font Size Issue</v>
      </c>
      <c r="D46" s="24" t="n">
        <v>46197.97502814815</v>
      </c>
      <c r="E46" s="15" t="str">
        <v>open</v>
      </c>
      <c r="F46" s="26" t="n">
        <v>3</v>
      </c>
      <c r="G46" s="26" t="n">
        <v>2</v>
      </c>
      <c r="H46" s="15" t="str">
        <v>B06</v>
      </c>
      <c r="I46" s="15" t="str"/>
      <c r="J46" s="28" t="str">
        <v>https://kakehashiapp.com/community/bf6c40ba-b760-4317-9503-e56a0f325b37</v>
      </c>
    </row>
    <row r="47" ht="47" customHeight="1">
      <c r="A47" s="12" t="str">
        <v>C39</v>
      </c>
      <c r="B47" s="12" t="str">
        <v>Community</v>
      </c>
      <c r="C47" s="12" t="str">
        <v>Occasionally Kanji are tiny</v>
      </c>
      <c r="D47" s="23" t="n">
        <v>46194.23596144676</v>
      </c>
      <c r="E47" s="12" t="str">
        <v>open</v>
      </c>
      <c r="F47" s="25" t="n">
        <v>3</v>
      </c>
      <c r="G47" s="25" t="n">
        <v>2</v>
      </c>
      <c r="H47" s="12" t="str">
        <v>B06</v>
      </c>
      <c r="I47" s="12" t="str"/>
      <c r="J47" s="27" t="str">
        <v>https://kakehashiapp.com/community/6b9027ee-7dbe-4455-ae7b-dd0972d966df</v>
      </c>
    </row>
    <row r="48" ht="47" customHeight="1">
      <c r="A48" s="15" t="str">
        <v>C40</v>
      </c>
      <c r="B48" s="15" t="str">
        <v>Community</v>
      </c>
      <c r="C48" s="15" t="str">
        <v>200%</v>
      </c>
      <c r="D48" s="24" t="n">
        <v>46193.17154939815</v>
      </c>
      <c r="E48" s="15" t="str">
        <v>open</v>
      </c>
      <c r="F48" s="26" t="n">
        <v>2</v>
      </c>
      <c r="G48" s="26" t="n">
        <v>9</v>
      </c>
      <c r="H48" s="15" t="str">
        <v>B16, B33</v>
      </c>
      <c r="I48" s="15" t="str">
        <v>One report spans several work items; see each remaining action.</v>
      </c>
      <c r="J48" s="28" t="str">
        <v>https://kakehashiapp.com/community/bbabd0a0-b6e4-4ab2-9fb6-6c221b01341e</v>
      </c>
    </row>
    <row r="49" ht="47" customHeight="1">
      <c r="A49" s="12" t="str">
        <v>C41</v>
      </c>
      <c r="B49" s="12" t="str">
        <v>Community</v>
      </c>
      <c r="C49" s="12" t="str">
        <v>Screen spazzing out when i try to add a note</v>
      </c>
      <c r="D49" s="23" t="n">
        <v>46191.953682928244</v>
      </c>
      <c r="E49" s="12" t="str">
        <v>open</v>
      </c>
      <c r="F49" s="25" t="n">
        <v>1</v>
      </c>
      <c r="G49" s="25" t="n">
        <v>2</v>
      </c>
      <c r="H49" s="12" t="str">
        <v>V03</v>
      </c>
      <c r="I49" s="12" t="str"/>
      <c r="J49" s="27" t="str">
        <v>https://kakehashiapp.com/community/9980ff84-0802-4de8-aadb-04ea68269cc2</v>
      </c>
    </row>
    <row r="50" ht="47" customHeight="1">
      <c r="A50" s="15" t="str">
        <v>C42</v>
      </c>
      <c r="B50" s="15" t="str">
        <v>Community</v>
      </c>
      <c r="C50" s="15" t="str">
        <v>Apprentice/Guru item count lesson block</v>
      </c>
      <c r="D50" s="24" t="n">
        <v>46190.77869332176</v>
      </c>
      <c r="E50" s="15" t="str">
        <v>open</v>
      </c>
      <c r="F50" s="26" t="n">
        <v>1</v>
      </c>
      <c r="G50" s="26" t="n">
        <v>2</v>
      </c>
      <c r="H50" s="15" t="str">
        <v>V22</v>
      </c>
      <c r="I50" s="15" t="str"/>
      <c r="J50" s="28" t="str">
        <v>https://kakehashiapp.com/community/7a9653a7-50d9-4f96-b191-d0a7bd8edd8f</v>
      </c>
    </row>
    <row r="51" ht="47" customHeight="1">
      <c r="A51" s="12" t="str">
        <v>C43</v>
      </c>
      <c r="B51" s="12" t="str">
        <v>Community</v>
      </c>
      <c r="C51" s="12" t="str">
        <v>Adding a cbz/cbr manga reader</v>
      </c>
      <c r="D51" s="23" t="n">
        <v>46187.855003414355</v>
      </c>
      <c r="E51" s="12" t="str">
        <v>open</v>
      </c>
      <c r="F51" s="25" t="n">
        <v>3</v>
      </c>
      <c r="G51" s="25" t="n">
        <v>1</v>
      </c>
      <c r="H51" s="12" t="str">
        <v>B51</v>
      </c>
      <c r="I51" s="12" t="str"/>
      <c r="J51" s="27" t="str">
        <v>https://kakehashiapp.com/community/b8f98809-d8bd-4265-afa5-162a5be0816f</v>
      </c>
    </row>
    <row r="52" ht="47" customHeight="1">
      <c r="A52" s="15" t="str">
        <v>C44</v>
      </c>
      <c r="B52" s="15" t="str">
        <v>Community</v>
      </c>
      <c r="C52" s="15" t="str">
        <v>switch keyboard automatically</v>
      </c>
      <c r="D52" s="24" t="n">
        <v>46186.62335491898</v>
      </c>
      <c r="E52" s="15" t="str">
        <v>open</v>
      </c>
      <c r="F52" s="26" t="n">
        <v>4</v>
      </c>
      <c r="G52" s="26" t="n">
        <v>4</v>
      </c>
      <c r="H52" s="15" t="str">
        <v>B02</v>
      </c>
      <c r="I52" s="15" t="str"/>
      <c r="J52" s="28" t="str">
        <v>https://kakehashiapp.com/community/192c3228-19c2-4688-9941-466ce698f72a</v>
      </c>
    </row>
    <row r="53" ht="47" customHeight="1">
      <c r="A53" s="12" t="str">
        <v>C45</v>
      </c>
      <c r="B53" s="12" t="str">
        <v>Community</v>
      </c>
      <c r="C53" s="12" t="str">
        <v>Stroke order visualization</v>
      </c>
      <c r="D53" s="23" t="n">
        <v>46185.63650175926</v>
      </c>
      <c r="E53" s="12" t="str">
        <v>open</v>
      </c>
      <c r="F53" s="25" t="n">
        <v>3</v>
      </c>
      <c r="G53" s="25" t="n">
        <v>2</v>
      </c>
      <c r="H53" s="12" t="str">
        <v>B30</v>
      </c>
      <c r="I53" s="12" t="str"/>
      <c r="J53" s="27" t="str">
        <v>https://kakehashiapp.com/community/8b13cf8b-a2e0-4806-ab66-116d60067a4d</v>
      </c>
    </row>
    <row r="54" ht="47" customHeight="1">
      <c r="A54" s="15" t="str">
        <v>C46</v>
      </c>
      <c r="B54" s="15" t="str">
        <v>Community</v>
      </c>
      <c r="C54" s="15" t="str">
        <v>Cut off text; lesson count; copy paste </v>
      </c>
      <c r="D54" s="24" t="n">
        <v>46183.073690405094</v>
      </c>
      <c r="E54" s="15" t="str">
        <v>open</v>
      </c>
      <c r="F54" s="26" t="n">
        <v>1</v>
      </c>
      <c r="G54" s="26" t="n">
        <v>1</v>
      </c>
      <c r="H54" s="15" t="str">
        <v>B15, B31</v>
      </c>
      <c r="I54" s="15" t="str">
        <v>One report spans several work items; see each remaining action.</v>
      </c>
      <c r="J54" s="28" t="str">
        <v>https://kakehashiapp.com/community/1b1755b7-9db4-40fa-b1ac-f403ec5bd3a7</v>
      </c>
    </row>
    <row r="55" ht="47" customHeight="1">
      <c r="A55" s="12" t="str">
        <v>C47</v>
      </c>
      <c r="B55" s="12" t="str">
        <v>Community</v>
      </c>
      <c r="C55" s="12" t="str">
        <v>Ascending order and lowest level first working together</v>
      </c>
      <c r="D55" s="23" t="n">
        <v>46182.21202958333</v>
      </c>
      <c r="E55" s="12" t="str">
        <v>open</v>
      </c>
      <c r="F55" s="25" t="n">
        <v>1</v>
      </c>
      <c r="G55" s="25" t="n">
        <v>1</v>
      </c>
      <c r="H55" s="12" t="str">
        <v>V12</v>
      </c>
      <c r="I55" s="12" t="str"/>
      <c r="J55" s="27" t="str">
        <v>https://kakehashiapp.com/community/e07e5d09-8da6-4ecf-b7fb-d05dcd31fbcb</v>
      </c>
    </row>
    <row r="56" ht="47" customHeight="1">
      <c r="A56" s="15" t="str">
        <v>C48</v>
      </c>
      <c r="B56" s="15" t="str">
        <v>Community</v>
      </c>
      <c r="C56" s="15" t="str">
        <v>Spotify</v>
      </c>
      <c r="D56" s="24" t="n">
        <v>46179.468048842595</v>
      </c>
      <c r="E56" s="15" t="str">
        <v>open</v>
      </c>
      <c r="F56" s="26" t="n">
        <v>8</v>
      </c>
      <c r="G56" s="26" t="n">
        <v>10</v>
      </c>
      <c r="H56" s="15" t="str">
        <v>V05</v>
      </c>
      <c r="I56" s="15" t="str"/>
      <c r="J56" s="28" t="str">
        <v>https://kakehashiapp.com/community/09131848-6c3a-442e-a4f5-23c089b37c14</v>
      </c>
    </row>
    <row r="57" ht="47" customHeight="1">
      <c r="A57" s="12" t="str">
        <v>C49</v>
      </c>
      <c r="B57" s="12" t="str">
        <v>Community</v>
      </c>
      <c r="C57" s="12" t="str">
        <v>Custom subject list filter</v>
      </c>
      <c r="D57" s="23" t="n">
        <v>46177.75687810185</v>
      </c>
      <c r="E57" s="12" t="str">
        <v>open</v>
      </c>
      <c r="F57" s="25" t="n">
        <v>1</v>
      </c>
      <c r="G57" s="25" t="n">
        <v>10</v>
      </c>
      <c r="H57" s="12" t="str">
        <v>B27</v>
      </c>
      <c r="I57" s="12" t="str"/>
      <c r="J57" s="27" t="str">
        <v>https://kakehashiapp.com/community/fb0cb5db-e54f-43b1-b787-97719175801a</v>
      </c>
    </row>
    <row r="58" ht="47" customHeight="1">
      <c r="A58" s="15" t="str">
        <v>C50</v>
      </c>
      <c r="B58" s="15" t="str">
        <v>Community</v>
      </c>
      <c r="C58" s="15" t="str">
        <v>A couple of requests </v>
      </c>
      <c r="D58" s="24" t="n">
        <v>46174.00658314815</v>
      </c>
      <c r="E58" s="15" t="str">
        <v>open</v>
      </c>
      <c r="F58" s="26" t="n">
        <v>2</v>
      </c>
      <c r="G58" s="26" t="n">
        <v>5</v>
      </c>
      <c r="H58" s="15" t="str">
        <v>V14</v>
      </c>
      <c r="I58" s="15" t="str"/>
      <c r="J58" s="28" t="str">
        <v>https://kakehashiapp.com/community/ab3c1abc-7514-4c1a-aa2e-52167b44a813</v>
      </c>
    </row>
    <row r="59" ht="47" customHeight="1">
      <c r="A59" s="12" t="str">
        <v>C51</v>
      </c>
      <c r="B59" s="12" t="str">
        <v>Community</v>
      </c>
      <c r="C59" s="12" t="str">
        <v>Voices</v>
      </c>
      <c r="D59" s="23" t="n">
        <v>46164.97226445602</v>
      </c>
      <c r="E59" s="12" t="str">
        <v>open</v>
      </c>
      <c r="F59" s="25" t="n">
        <v>2</v>
      </c>
      <c r="G59" s="25" t="n">
        <v>4</v>
      </c>
      <c r="H59" s="12" t="str">
        <v>V08</v>
      </c>
      <c r="I59" s="12" t="str"/>
      <c r="J59" s="27" t="str">
        <v>https://kakehashiapp.com/community/15e1d664-8e33-4906-80da-4a04ce9be431</v>
      </c>
    </row>
    <row r="60" ht="47" customHeight="1">
      <c r="A60" s="15" t="str">
        <v>C52</v>
      </c>
      <c r="B60" s="15" t="str">
        <v>Community</v>
      </c>
      <c r="C60" s="15" t="str">
        <v>[Android] Daily Lesson Reminder issues</v>
      </c>
      <c r="D60" s="24" t="n">
        <v>46163.737633425924</v>
      </c>
      <c r="E60" s="15" t="str">
        <v>open</v>
      </c>
      <c r="F60" s="26" t="n">
        <v>2</v>
      </c>
      <c r="G60" s="26" t="n">
        <v>1</v>
      </c>
      <c r="H60" s="15" t="str">
        <v>B17</v>
      </c>
      <c r="I60" s="15" t="str"/>
      <c r="J60" s="28" t="str">
        <v>https://kakehashiapp.com/community/02dcd652-5079-4681-ad43-9a013cbeb0b0</v>
      </c>
    </row>
    <row r="61" ht="47" customHeight="1">
      <c r="A61" s="12" t="str">
        <v>C53</v>
      </c>
      <c r="B61" s="12" t="str">
        <v>Community</v>
      </c>
      <c r="C61" s="12" t="str">
        <v>Lesson/Review count</v>
      </c>
      <c r="D61" s="23" t="n">
        <v>46163.56064328703</v>
      </c>
      <c r="E61" s="12" t="str">
        <v>open</v>
      </c>
      <c r="F61" s="25" t="n">
        <v>3</v>
      </c>
      <c r="G61" s="25" t="n">
        <v>6</v>
      </c>
      <c r="H61" s="12" t="str">
        <v>B09</v>
      </c>
      <c r="I61" s="12" t="str"/>
      <c r="J61" s="27" t="str">
        <v>https://kakehashiapp.com/community/31e14002-b92a-4d81-91b1-2fba0adc5877</v>
      </c>
    </row>
    <row r="62" ht="47" customHeight="1">
      <c r="A62" s="15" t="str">
        <v>C54</v>
      </c>
      <c r="B62" s="15" t="str">
        <v>Community</v>
      </c>
      <c r="C62" s="15" t="str">
        <v>Keeping Item Type Order sorting while on Most Overdue First review</v>
      </c>
      <c r="D62" s="24" t="n">
        <v>46161.67093609954</v>
      </c>
      <c r="E62" s="15" t="str">
        <v>open</v>
      </c>
      <c r="F62" s="26" t="n">
        <v>1</v>
      </c>
      <c r="G62" s="26" t="n">
        <v>1</v>
      </c>
      <c r="H62" s="15" t="str">
        <v>V13</v>
      </c>
      <c r="I62" s="15" t="str"/>
      <c r="J62" s="28" t="str">
        <v>https://kakehashiapp.com/community/1602049e-745f-4bdb-a146-a5b3019c0b6b</v>
      </c>
    </row>
    <row r="63" ht="47" customHeight="1">
      <c r="A63" s="12" t="str">
        <v>C55</v>
      </c>
      <c r="B63" s="12" t="str">
        <v>Community</v>
      </c>
      <c r="C63" s="12" t="str">
        <v>[Android] Vocabulary lessons take too long to load</v>
      </c>
      <c r="D63" s="23" t="n">
        <v>46160.638729467595</v>
      </c>
      <c r="E63" s="12" t="str">
        <v>open</v>
      </c>
      <c r="F63" s="25" t="n">
        <v>4</v>
      </c>
      <c r="G63" s="25" t="n">
        <v>5</v>
      </c>
      <c r="H63" s="12" t="str">
        <v>B05</v>
      </c>
      <c r="I63" s="12" t="str"/>
      <c r="J63" s="27" t="str">
        <v>https://kakehashiapp.com/community/ab3bf99e-4094-418e-8bbe-021231ee5b3e</v>
      </c>
    </row>
    <row r="64" ht="47" customHeight="1">
      <c r="A64" s="15" t="str">
        <v>C56</v>
      </c>
      <c r="B64" s="15" t="str">
        <v>Community</v>
      </c>
      <c r="C64" s="15" t="str">
        <v>Lock screen widget/apple watch complication?</v>
      </c>
      <c r="D64" s="24" t="n">
        <v>46159.7946784838</v>
      </c>
      <c r="E64" s="15" t="str">
        <v>open</v>
      </c>
      <c r="F64" s="26" t="n">
        <v>2</v>
      </c>
      <c r="G64" s="26" t="n">
        <v>5</v>
      </c>
      <c r="H64" s="15" t="str">
        <v>B49, V04</v>
      </c>
      <c r="I64" s="15" t="str">
        <v>One report spans several work items; see each remaining action.</v>
      </c>
      <c r="J64" s="28" t="str">
        <v>https://kakehashiapp.com/community/d00e65c3-7c9c-4b86-8386-fe7e376f9e28</v>
      </c>
    </row>
    <row r="65" ht="47" customHeight="1">
      <c r="A65" s="12" t="str">
        <v>C57</v>
      </c>
      <c r="B65" s="12" t="str">
        <v>Community</v>
      </c>
      <c r="C65" s="12" t="str">
        <v>Context Sentence TTS Voice</v>
      </c>
      <c r="D65" s="23" t="n">
        <v>46155.46860702546</v>
      </c>
      <c r="E65" s="12" t="str">
        <v>open</v>
      </c>
      <c r="F65" s="25" t="n">
        <v>1</v>
      </c>
      <c r="G65" s="25" t="n">
        <v>4</v>
      </c>
      <c r="H65" s="12" t="str">
        <v>B48</v>
      </c>
      <c r="I65" s="12" t="str"/>
      <c r="J65" s="27" t="str">
        <v>https://kakehashiapp.com/community/b05f5e5b-a0cd-476f-955f-dbbbb73320fa</v>
      </c>
    </row>
    <row r="66" ht="47" customHeight="1">
      <c r="A66" s="15" t="str">
        <v>C58</v>
      </c>
      <c r="B66" s="15" t="str">
        <v>Community</v>
      </c>
      <c r="C66" s="15" t="str">
        <v>Minor issue with text cropping</v>
      </c>
      <c r="D66" s="24" t="n">
        <v>46153.16813885417</v>
      </c>
      <c r="E66" s="15" t="str">
        <v>open</v>
      </c>
      <c r="F66" s="26" t="n">
        <v>1</v>
      </c>
      <c r="G66" s="26" t="n">
        <v>2</v>
      </c>
      <c r="H66" s="15" t="str">
        <v>B15</v>
      </c>
      <c r="I66" s="15" t="str"/>
      <c r="J66" s="28" t="str">
        <v>https://kakehashiapp.com/community/9f6db376-cab8-4f7e-b417-3f02aba651cc</v>
      </c>
    </row>
    <row r="67" ht="47" customHeight="1">
      <c r="A67" s="12" t="str">
        <v>C59</v>
      </c>
      <c r="B67" s="12" t="str">
        <v>Community</v>
      </c>
      <c r="C67" s="12" t="str">
        <v>Recent Unlocks Suggestion </v>
      </c>
      <c r="D67" s="23" t="n">
        <v>46152.632999988426</v>
      </c>
      <c r="E67" s="12" t="str">
        <v>open</v>
      </c>
      <c r="F67" s="25" t="n">
        <v>1</v>
      </c>
      <c r="G67" s="25" t="n">
        <v>2</v>
      </c>
      <c r="H67" s="12" t="str">
        <v>B28</v>
      </c>
      <c r="I67" s="12" t="str"/>
      <c r="J67" s="27" t="str">
        <v>https://kakehashiapp.com/community/9817dcf1-f971-4bb9-b0bf-80b685abafdb</v>
      </c>
    </row>
    <row r="68" ht="47" customHeight="1">
      <c r="A68" s="15" t="str">
        <v>C60</v>
      </c>
      <c r="B68" s="15" t="str">
        <v>Community</v>
      </c>
      <c r="C68" s="15" t="str">
        <v>Context Sentences Extra Study suggestions </v>
      </c>
      <c r="D68" s="24" t="n">
        <v>46150.07730034722</v>
      </c>
      <c r="E68" s="15" t="str">
        <v>open</v>
      </c>
      <c r="F68" s="26" t="n">
        <v>1</v>
      </c>
      <c r="G68" s="26" t="n">
        <v>14</v>
      </c>
      <c r="H68" s="15" t="str">
        <v>V07</v>
      </c>
      <c r="I68" s="15" t="str"/>
      <c r="J68" s="28" t="str">
        <v>https://kakehashiapp.com/community/ee5cfd98-1a2d-4d9a-9faf-948038f91386</v>
      </c>
    </row>
    <row r="69" ht="47" customHeight="1">
      <c r="A69" s="12" t="str">
        <v>C61</v>
      </c>
      <c r="B69" s="12" t="str">
        <v>Community</v>
      </c>
      <c r="C69" s="12" t="str">
        <v>Small reset bug</v>
      </c>
      <c r="D69" s="23" t="n">
        <v>46145.450848148146</v>
      </c>
      <c r="E69" s="12" t="str">
        <v>open</v>
      </c>
      <c r="F69" s="25" t="n">
        <v>1</v>
      </c>
      <c r="G69" s="25" t="n">
        <v>2</v>
      </c>
      <c r="H69" s="12" t="str">
        <v>B32</v>
      </c>
      <c r="I69" s="12" t="str"/>
      <c r="J69" s="27" t="str">
        <v>https://kakehashiapp.com/community/2457b748-6331-4807-abee-147a65d076eb</v>
      </c>
    </row>
    <row r="70" ht="47" customHeight="1">
      <c r="A70" s="15" t="str">
        <v>C62</v>
      </c>
      <c r="B70" s="15" t="str">
        <v>Community</v>
      </c>
      <c r="C70" s="15" t="str">
        <v>Android glitches </v>
      </c>
      <c r="D70" s="24" t="n">
        <v>46145.38368944445</v>
      </c>
      <c r="E70" s="15" t="str">
        <v>open</v>
      </c>
      <c r="F70" s="26" t="n">
        <v>4</v>
      </c>
      <c r="G70" s="26" t="n">
        <v>5</v>
      </c>
      <c r="H70" s="15" t="str">
        <v>B06, B07, B21</v>
      </c>
      <c r="I70" s="15" t="str">
        <v>One report spans several work items; see each remaining action.</v>
      </c>
      <c r="J70" s="28" t="str">
        <v>https://kakehashiapp.com/community/7e3260de-3d3e-4d6f-8eff-0b540bf2f0a2</v>
      </c>
    </row>
    <row r="71" ht="47" customHeight="1">
      <c r="A71" s="12" t="str">
        <v>C63</v>
      </c>
      <c r="B71" s="12" t="str">
        <v>Community</v>
      </c>
      <c r="C71" s="12" t="str">
        <v>Context sentences audio not working</v>
      </c>
      <c r="D71" s="23" t="n">
        <v>46143.84733208334</v>
      </c>
      <c r="E71" s="12" t="str">
        <v>open</v>
      </c>
      <c r="F71" s="25" t="n">
        <v>3</v>
      </c>
      <c r="G71" s="25" t="n">
        <v>3</v>
      </c>
      <c r="H71" s="12" t="str">
        <v>V23</v>
      </c>
      <c r="I71" s="12" t="str"/>
      <c r="J71" s="27" t="str">
        <v>https://kakehashiapp.com/community/62f18945-7bb8-4ce7-9674-6cec0c15c4ce</v>
      </c>
    </row>
    <row r="72" ht="47" customHeight="1">
      <c r="A72" s="15" t="str">
        <v>C64</v>
      </c>
      <c r="B72" s="15" t="str">
        <v>Community</v>
      </c>
      <c r="C72" s="15" t="str">
        <v>AirPlay and screen share don’t work</v>
      </c>
      <c r="D72" s="24" t="n">
        <v>46137.9324522338</v>
      </c>
      <c r="E72" s="15" t="str">
        <v>open</v>
      </c>
      <c r="F72" s="26" t="n">
        <v>2</v>
      </c>
      <c r="G72" s="26" t="n">
        <v>8</v>
      </c>
      <c r="H72" s="15" t="str">
        <v>B20</v>
      </c>
      <c r="I72" s="15" t="str"/>
      <c r="J72" s="28" t="str">
        <v>https://kakehashiapp.com/community/63e1ac95-6bc9-42f6-ac10-d81743ca4d1f</v>
      </c>
    </row>
    <row r="73" ht="47" customHeight="1">
      <c r="A73" s="12" t="str">
        <v>C65</v>
      </c>
      <c r="B73" s="12" t="str">
        <v>Community</v>
      </c>
      <c r="C73" s="12" t="str">
        <v>kanji writing, some kanji stuck loading</v>
      </c>
      <c r="D73" s="23" t="n">
        <v>46128.797836273145</v>
      </c>
      <c r="E73" s="12" t="str">
        <v>open</v>
      </c>
      <c r="F73" s="25" t="n">
        <v>1</v>
      </c>
      <c r="G73" s="25" t="n">
        <v>3</v>
      </c>
      <c r="H73" s="12" t="str">
        <v>V04</v>
      </c>
      <c r="I73" s="12" t="str"/>
      <c r="J73" s="27" t="str">
        <v>https://kakehashiapp.com/community/22a4f4a8-f3b9-4eb4-bce1-f29941ed9655</v>
      </c>
    </row>
    <row r="74" ht="47" customHeight="1">
      <c r="A74" s="15" t="str">
        <v>C66</v>
      </c>
      <c r="B74" s="15" t="str">
        <v>Community</v>
      </c>
      <c r="C74" s="15" t="str">
        <v>iPad Keyboard Arrow Keys</v>
      </c>
      <c r="D74" s="24" t="n">
        <v>46125.17776141204</v>
      </c>
      <c r="E74" s="15" t="str">
        <v>open</v>
      </c>
      <c r="F74" s="26" t="n">
        <v>2</v>
      </c>
      <c r="G74" s="26" t="n">
        <v>5</v>
      </c>
      <c r="H74" s="15" t="str">
        <v>V06</v>
      </c>
      <c r="I74" s="15" t="str"/>
      <c r="J74" s="28" t="str">
        <v>https://kakehashiapp.com/community/d6ad6aba-e797-4403-941c-595c82db4300</v>
      </c>
    </row>
    <row r="75" ht="47" customHeight="1">
      <c r="A75" s="12" t="str">
        <v>C67</v>
      </c>
      <c r="B75" s="12" t="str">
        <v>Community</v>
      </c>
      <c r="C75" s="12" t="str">
        <v>Apple Watch Review</v>
      </c>
      <c r="D75" s="23" t="n">
        <v>46089.30037707176</v>
      </c>
      <c r="E75" s="12" t="str">
        <v>open</v>
      </c>
      <c r="F75" s="25" t="n">
        <v>8</v>
      </c>
      <c r="G75" s="25" t="n">
        <v>4</v>
      </c>
      <c r="H75" s="12" t="str">
        <v>B49, B50</v>
      </c>
      <c r="I75" s="12" t="str">
        <v>One report spans several work items; see each remaining action.</v>
      </c>
      <c r="J75" s="27" t="str">
        <v>https://kakehashiapp.com/community/a1687fed-7bfd-4c27-a185-cd13ba195a7f</v>
      </c>
    </row>
    <row r="76" ht="47" customHeight="1">
      <c r="A76" s="15" t="str">
        <v>G80</v>
      </c>
      <c r="B76" s="15" t="str">
        <v>GitHub</v>
      </c>
      <c r="C76" s="15" t="str">
        <v>[Feature]: As much Japanese to Japanese options as possible (with examples)</v>
      </c>
      <c r="D76" s="24" t="n">
        <v>46273.870104166665</v>
      </c>
      <c r="E76" s="15" t="str">
        <v>open</v>
      </c>
      <c r="F76" s="26"/>
      <c r="G76" s="26" t="n">
        <v>0</v>
      </c>
      <c r="H76" s="15" t="str">
        <v>B46</v>
      </c>
      <c r="I76" s="15" t="str"/>
      <c r="J76" s="28" t="str">
        <v>https://github.com/Portego-00/Kakehashi/issues/80</v>
      </c>
    </row>
    <row r="77" ht="47" customHeight="1">
      <c r="A77" s="12" t="str">
        <v>G77</v>
      </c>
      <c r="B77" s="12" t="str">
        <v>GitHub</v>
      </c>
      <c r="C77" s="12" t="str">
        <v>[Bug]: When using the extra fonts the default font shows for a split second</v>
      </c>
      <c r="D77" s="23" t="n">
        <v>46273.80355324074</v>
      </c>
      <c r="E77" s="12" t="str">
        <v>open</v>
      </c>
      <c r="F77" s="25"/>
      <c r="G77" s="25" t="n">
        <v>0</v>
      </c>
      <c r="H77" s="12" t="str">
        <v>B38</v>
      </c>
      <c r="I77" s="12" t="str"/>
      <c r="J77" s="27" t="str">
        <v>https://github.com/Portego-00/Kakehashi/issues/77</v>
      </c>
    </row>
    <row r="78" ht="47" customHeight="1">
      <c r="A78" s="15" t="str">
        <v>G76</v>
      </c>
      <c r="B78" s="15" t="str">
        <v>GitHub</v>
      </c>
      <c r="C78" s="15" t="str">
        <v>[Bug]: Superfluous Submit Answer button in multiple choice extra reviews</v>
      </c>
      <c r="D78" s="24" t="n">
        <v>46273.795219907406</v>
      </c>
      <c r="E78" s="15" t="str">
        <v>open</v>
      </c>
      <c r="F78" s="26"/>
      <c r="G78" s="26" t="n">
        <v>0</v>
      </c>
      <c r="H78" s="15" t="str">
        <v>B22</v>
      </c>
      <c r="I78" s="15" t="str"/>
      <c r="J78" s="28" t="str">
        <v>https://github.com/Portego-00/Kakehashi/issues/76</v>
      </c>
    </row>
    <row r="79" ht="47" customHeight="1">
      <c r="A79" s="12" t="str">
        <v>G75</v>
      </c>
      <c r="B79" s="12" t="str">
        <v>GitHub</v>
      </c>
      <c r="C79" s="12" t="str">
        <v>[Feature]: Add automatic audio when answer is correct in Context Sentences reviews</v>
      </c>
      <c r="D79" s="23" t="n">
        <v>46273.791296296295</v>
      </c>
      <c r="E79" s="12" t="str">
        <v>open</v>
      </c>
      <c r="F79" s="25"/>
      <c r="G79" s="25" t="n">
        <v>0</v>
      </c>
      <c r="H79" s="12" t="str">
        <v>B23</v>
      </c>
      <c r="I79" s="12" t="str"/>
      <c r="J79" s="27" t="str">
        <v>https://github.com/Portego-00/Kakehashi/issues/75</v>
      </c>
    </row>
    <row r="80" ht="47" customHeight="1">
      <c r="A80" s="15" t="str">
        <v>G72</v>
      </c>
      <c r="B80" s="15" t="str">
        <v>GitHub</v>
      </c>
      <c r="C80" s="15" t="str">
        <v>[Bug]: In reviews and Audio quiz the multiple choice menu disappears sometimes</v>
      </c>
      <c r="D80" s="24" t="n">
        <v>46273.7287037037</v>
      </c>
      <c r="E80" s="15" t="str">
        <v>open</v>
      </c>
      <c r="F80" s="26"/>
      <c r="G80" s="26" t="n">
        <v>0</v>
      </c>
      <c r="H80" s="15" t="str">
        <v>B08</v>
      </c>
      <c r="I80" s="15" t="str"/>
      <c r="J80" s="28" t="str">
        <v>https://github.com/Portego-00/Kakehashi/issues/72</v>
      </c>
    </row>
    <row r="81" ht="47" customHeight="1">
      <c r="A81" s="12" t="str">
        <v>G71</v>
      </c>
      <c r="B81" s="12" t="str">
        <v>GitHub</v>
      </c>
      <c r="C81" s="12" t="str">
        <v>[Feature]: Customised context sentences improvements</v>
      </c>
      <c r="D81" s="23" t="n">
        <v>46273.725486111114</v>
      </c>
      <c r="E81" s="12" t="str">
        <v>open</v>
      </c>
      <c r="F81" s="25"/>
      <c r="G81" s="25" t="n">
        <v>1</v>
      </c>
      <c r="H81" s="12" t="str">
        <v>B45</v>
      </c>
      <c r="I81" s="12" t="str"/>
      <c r="J81" s="27" t="str">
        <v>https://github.com/Portego-00/Kakehashi/issues/71</v>
      </c>
    </row>
    <row r="82" ht="47" customHeight="1">
      <c r="A82" s="15" t="str">
        <v>G70</v>
      </c>
      <c r="B82" s="15" t="str">
        <v>GitHub</v>
      </c>
      <c r="C82" s="15" t="str">
        <v>[Bug]: When resuming picked lessons, random lessons are added on</v>
      </c>
      <c r="D82" s="24" t="n">
        <v>46273.70414351852</v>
      </c>
      <c r="E82" s="15" t="str">
        <v>open</v>
      </c>
      <c r="F82" s="26"/>
      <c r="G82" s="26" t="n">
        <v>2</v>
      </c>
      <c r="H82" s="15" t="str">
        <v>V01</v>
      </c>
      <c r="I82" s="15" t="str"/>
      <c r="J82" s="28" t="str">
        <v>https://github.com/Portego-00/Kakehashi/issues/70</v>
      </c>
    </row>
    <row r="83" ht="47" customHeight="1">
      <c r="A83" s="12" t="str">
        <v>G68</v>
      </c>
      <c r="B83" s="12" t="str">
        <v>GitHub</v>
      </c>
      <c r="C83" s="12" t="str">
        <v>[Bug]: Editing screen and rich formatting</v>
      </c>
      <c r="D83" s="23" t="n">
        <v>46273.65788194445</v>
      </c>
      <c r="E83" s="12" t="str">
        <v>open</v>
      </c>
      <c r="F83" s="25"/>
      <c r="G83" s="25" t="n">
        <v>0</v>
      </c>
      <c r="H83" s="12" t="str">
        <v>B12</v>
      </c>
      <c r="I83" s="12" t="str"/>
      <c r="J83" s="27" t="str">
        <v>https://github.com/Portego-00/Kakehashi/issues/68</v>
      </c>
    </row>
    <row r="84" ht="47" customHeight="1">
      <c r="A84" s="15" t="str">
        <v>G66</v>
      </c>
      <c r="B84" s="15" t="str">
        <v>GitHub</v>
      </c>
      <c r="C84" s="15" t="str">
        <v>[Feature]: Integral notebook</v>
      </c>
      <c r="D84" s="24" t="n">
        <v>46271.45276620371</v>
      </c>
      <c r="E84" s="15" t="str">
        <v>open</v>
      </c>
      <c r="F84" s="26"/>
      <c r="G84" s="26" t="n">
        <v>5</v>
      </c>
      <c r="H84" s="15" t="str">
        <v>B35</v>
      </c>
      <c r="I84" s="15" t="str"/>
      <c r="J84" s="28" t="str">
        <v>https://github.com/Portego-00/Kakehashi/issues/66</v>
      </c>
    </row>
    <row r="85" ht="47" customHeight="1">
      <c r="A85" s="12" t="str">
        <v>G65</v>
      </c>
      <c r="B85" s="12" t="str">
        <v>GitHub</v>
      </c>
      <c r="C85" s="12" t="str">
        <v>[Bug]: Links in notes</v>
      </c>
      <c r="D85" s="23" t="n">
        <v>46271.41805555556</v>
      </c>
      <c r="E85" s="12" t="str">
        <v>open</v>
      </c>
      <c r="F85" s="25"/>
      <c r="G85" s="25" t="n">
        <v>7</v>
      </c>
      <c r="H85" s="12" t="str">
        <v>B11</v>
      </c>
      <c r="I85" s="12" t="str"/>
      <c r="J85" s="27" t="str">
        <v>https://github.com/Portego-00/Kakehashi/issues/65</v>
      </c>
    </row>
    <row r="86" ht="47" customHeight="1">
      <c r="A86" s="15" t="str">
        <v>G58</v>
      </c>
      <c r="B86" s="15" t="str">
        <v>GitHub</v>
      </c>
      <c r="C86" s="15" t="str">
        <v>[Feature]: Export Media Context Sentences to Anki (willing to implement myself)</v>
      </c>
      <c r="D86" s="24" t="n">
        <v>46258.07570601852</v>
      </c>
      <c r="E86" s="15" t="str">
        <v>open</v>
      </c>
      <c r="F86" s="26"/>
      <c r="G86" s="26" t="n">
        <v>1</v>
      </c>
      <c r="H86" s="15" t="str">
        <v>B25</v>
      </c>
      <c r="I86" s="15" t="str"/>
      <c r="J86" s="28" t="str">
        <v>https://github.com/Portego-00/Kakehashi/issues/58</v>
      </c>
    </row>
    <row r="87" ht="47" customHeight="1">
      <c r="A87" s="12" t="str">
        <v>G54</v>
      </c>
      <c r="B87" s="12" t="str">
        <v>GitHub</v>
      </c>
      <c r="C87" s="12" t="str">
        <v>[Bug]: Review text is sometimes broken on Android</v>
      </c>
      <c r="D87" s="23" t="n">
        <v>46231.0456712963</v>
      </c>
      <c r="E87" s="12" t="str">
        <v>open</v>
      </c>
      <c r="F87" s="25"/>
      <c r="G87" s="25" t="n">
        <v>1</v>
      </c>
      <c r="H87" s="12" t="str">
        <v>B07</v>
      </c>
      <c r="I87" s="12" t="str"/>
      <c r="J87" s="27" t="str">
        <v>https://github.com/Portego-00/Kakehashi/issues/54</v>
      </c>
    </row>
    <row r="88" ht="47" customHeight="1">
      <c r="A88" s="15" t="str">
        <v>G50</v>
      </c>
      <c r="B88" s="15" t="str">
        <v>GitHub</v>
      </c>
      <c r="C88" s="15" t="str">
        <v>[Bug]: level recap layout broken</v>
      </c>
      <c r="D88" s="24" t="n">
        <v>46210.18100694445</v>
      </c>
      <c r="E88" s="15" t="str">
        <v>open</v>
      </c>
      <c r="F88" s="26"/>
      <c r="G88" s="26" t="n">
        <v>1</v>
      </c>
      <c r="H88" s="15" t="str">
        <v>B39</v>
      </c>
      <c r="I88" s="15" t="str"/>
      <c r="J88" s="28" t="str">
        <v>https://github.com/Portego-00/Kakehashi/issues/50</v>
      </c>
    </row>
    <row r="89">
      <c r="A89" s="2"/>
      <c r="B89" s="2"/>
      <c r="C89" s="2"/>
      <c r="D89" s="2"/>
      <c r="E89" s="2"/>
      <c r="F89" s="2"/>
      <c r="G89" s="2"/>
      <c r="H89" s="2"/>
      <c r="I89" s="2"/>
      <c r="J89" s="2"/>
    </row>
  </sheetData>
  <hyperlinks>
    <hyperlink ref="J9" r:id="rIdSource1" tooltip="Open original report"/>
    <hyperlink ref="J10" r:id="rIdSource2" tooltip="Open original report"/>
    <hyperlink ref="J11" r:id="rIdSource3" tooltip="Open original report"/>
    <hyperlink ref="J12" r:id="rIdSource4" tooltip="Open original report"/>
    <hyperlink ref="J13" r:id="rIdSource5" tooltip="Open original report"/>
    <hyperlink ref="J14" r:id="rIdSource6" tooltip="Open original report"/>
    <hyperlink ref="J15" r:id="rIdSource7" tooltip="Open original report"/>
    <hyperlink ref="J16" r:id="rIdSource8" tooltip="Open original report"/>
    <hyperlink ref="J17" r:id="rIdSource9" tooltip="Open original report"/>
    <hyperlink ref="J18" r:id="rIdSource10" tooltip="Open original report"/>
    <hyperlink ref="J19" r:id="rIdSource11" tooltip="Open original report"/>
    <hyperlink ref="J20" r:id="rIdSource12" tooltip="Open original report"/>
    <hyperlink ref="J21" r:id="rIdSource13" tooltip="Open original report"/>
    <hyperlink ref="J22" r:id="rIdSource14" tooltip="Open original report"/>
    <hyperlink ref="J23" r:id="rIdSource15" tooltip="Open original report"/>
    <hyperlink ref="J24" r:id="rIdSource16" tooltip="Open original report"/>
    <hyperlink ref="J25" r:id="rIdSource17" tooltip="Open original report"/>
    <hyperlink ref="J26" r:id="rIdSource18" tooltip="Open original report"/>
    <hyperlink ref="J27" r:id="rIdSource19" tooltip="Open original report"/>
    <hyperlink ref="J28" r:id="rIdSource20" tooltip="Open original report"/>
    <hyperlink ref="J29" r:id="rIdSource21" tooltip="Open original report"/>
    <hyperlink ref="J30" r:id="rIdSource22" tooltip="Open original report"/>
    <hyperlink ref="J31" r:id="rIdSource23" tooltip="Open original report"/>
    <hyperlink ref="J32" r:id="rIdSource24" tooltip="Open original report"/>
    <hyperlink ref="J33" r:id="rIdSource25" tooltip="Open original report"/>
    <hyperlink ref="J34" r:id="rIdSource26" tooltip="Open original report"/>
    <hyperlink ref="J35" r:id="rIdSource27" tooltip="Open original report"/>
    <hyperlink ref="J36" r:id="rIdSource28" tooltip="Open original report"/>
    <hyperlink ref="J37" r:id="rIdSource29" tooltip="Open original report"/>
    <hyperlink ref="J38" r:id="rIdSource30" tooltip="Open original report"/>
    <hyperlink ref="J39" r:id="rIdSource31" tooltip="Open original report"/>
    <hyperlink ref="J40" r:id="rIdSource32" tooltip="Open original report"/>
    <hyperlink ref="J41" r:id="rIdSource33" tooltip="Open original report"/>
    <hyperlink ref="J42" r:id="rIdSource34" tooltip="Open original report"/>
    <hyperlink ref="J43" r:id="rIdSource35" tooltip="Open original report"/>
    <hyperlink ref="J44" r:id="rIdSource36" tooltip="Open original report"/>
    <hyperlink ref="J45" r:id="rIdSource37" tooltip="Open original report"/>
    <hyperlink ref="J46" r:id="rIdSource38" tooltip="Open original report"/>
    <hyperlink ref="J47" r:id="rIdSource39" tooltip="Open original report"/>
    <hyperlink ref="J48" r:id="rIdSource40" tooltip="Open original report"/>
    <hyperlink ref="J49" r:id="rIdSource41" tooltip="Open original report"/>
    <hyperlink ref="J50" r:id="rIdSource42" tooltip="Open original report"/>
    <hyperlink ref="J51" r:id="rIdSource43" tooltip="Open original report"/>
    <hyperlink ref="J52" r:id="rIdSource44" tooltip="Open original report"/>
    <hyperlink ref="J53" r:id="rIdSource45" tooltip="Open original report"/>
    <hyperlink ref="J54" r:id="rIdSource46" tooltip="Open original report"/>
    <hyperlink ref="J55" r:id="rIdSource47" tooltip="Open original report"/>
    <hyperlink ref="J56" r:id="rIdSource48" tooltip="Open original report"/>
    <hyperlink ref="J57" r:id="rIdSource49" tooltip="Open original report"/>
    <hyperlink ref="J58" r:id="rIdSource50" tooltip="Open original report"/>
    <hyperlink ref="J59" r:id="rIdSource51" tooltip="Open original report"/>
    <hyperlink ref="J60" r:id="rIdSource52" tooltip="Open original report"/>
    <hyperlink ref="J61" r:id="rIdSource53" tooltip="Open original report"/>
    <hyperlink ref="J62" r:id="rIdSource54" tooltip="Open original report"/>
    <hyperlink ref="J63" r:id="rIdSource55" tooltip="Open original report"/>
    <hyperlink ref="J64" r:id="rIdSource56" tooltip="Open original report"/>
    <hyperlink ref="J65" r:id="rIdSource57" tooltip="Open original report"/>
    <hyperlink ref="J66" r:id="rIdSource58" tooltip="Open original report"/>
    <hyperlink ref="J67" r:id="rIdSource59" tooltip="Open original report"/>
    <hyperlink ref="J68" r:id="rIdSource60" tooltip="Open original report"/>
    <hyperlink ref="J69" r:id="rIdSource61" tooltip="Open original report"/>
    <hyperlink ref="J70" r:id="rIdSource62" tooltip="Open original report"/>
    <hyperlink ref="J71" r:id="rIdSource63" tooltip="Open original report"/>
    <hyperlink ref="J72" r:id="rIdSource64" tooltip="Open original report"/>
    <hyperlink ref="J73" r:id="rIdSource65" tooltip="Open original report"/>
    <hyperlink ref="J74" r:id="rIdSource66" tooltip="Open original report"/>
    <hyperlink ref="J75" r:id="rIdSource67" tooltip="Open original report"/>
    <hyperlink ref="J76" r:id="rIdSource68" tooltip="Open original report"/>
    <hyperlink ref="J77" r:id="rIdSource69" tooltip="Open original report"/>
    <hyperlink ref="J78" r:id="rIdSource70" tooltip="Open original report"/>
    <hyperlink ref="J79" r:id="rIdSource71" tooltip="Open original report"/>
    <hyperlink ref="J80" r:id="rIdSource72" tooltip="Open original report"/>
    <hyperlink ref="J81" r:id="rIdSource73" tooltip="Open original report"/>
    <hyperlink ref="J82" r:id="rIdSource74" tooltip="Open original report"/>
    <hyperlink ref="J83" r:id="rIdSource75" tooltip="Open original report"/>
    <hyperlink ref="J84" r:id="rIdSource76" tooltip="Open original report"/>
    <hyperlink ref="J85" r:id="rIdSource77" tooltip="Open original report"/>
    <hyperlink ref="J86" r:id="rIdSource78" tooltip="Open original report"/>
    <hyperlink ref="J87" r:id="rIdSource79" tooltip="Open original report"/>
    <hyperlink ref="J88" r:id="rIdSource80" tooltip="Open original report"/>
  </hyperlinks>
  <pageMargins left="0.7" right="0.7" top="0.75" bottom="0.75" header="0.3" footer="0.3"/>
  <legacyDrawing r:id="Rc6ae28b1ea574819"/>
  <tableParts count="1">
    <tablePart r:id="R07289e1cc4fb40ca"/>
  </tableParts>
</worksheet>
</file>